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e665d0407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be0e4bd327fb4161"/>
    <x:sheet xmlns:r="http://schemas.openxmlformats.org/officeDocument/2006/relationships" name="Coverage Analysis" sheetId="2" r:id="Rd87e41a9338b4be4"/>
    <x:sheet xmlns:r="http://schemas.openxmlformats.org/officeDocument/2006/relationships" name="Scorecard" sheetId="3" r:id="Rb4fb6eebd6364a6a"/>
    <x:sheet xmlns:r="http://schemas.openxmlformats.org/officeDocument/2006/relationships" name="Dashboard" sheetId="4" r:id="Rc9d41077055e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153"/>
      <x:name val="Carlito"/>
    </x:font>
    <x:font>
      <x:i/>
      <x:sz val="11"/>
      <x:color rgb="FF7F6000"/>
      <x:name val="Carlito"/>
    </x:font>
    <x:font>
      <x:b/>
      <x:sz val="18"/>
      <x:color rgb="FFFFFFFF"/>
      <x:name val="Carlito"/>
    </x:font>
    <x:font>
      <x:sz val="11"/>
      <x:color rgb="FF183153"/>
      <x:name val="Carlito"/>
    </x:font>
    <x:font>
      <x:b/>
      <x:sz val="20"/>
      <x:color rgb="FFFFFFFF"/>
      <x:name val="Carlito"/>
    </x:font>
    <x:font>
      <x:i/>
      <x:sz val="11"/>
      <x:color rgb="FF183153"/>
      <x:name val="Carlito"/>
    </x:font>
    <x:font>
      <x:b/>
      <x:sz val="11"/>
      <x:color rgb="FF66708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FFC000"/>
      </x:patternFill>
    </x:fill>
  </x:fills>
  <x:borders count="70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left style="thin">
        <x:color rgb="FFD0D5DD"/>
      </x:left>
      <x:top style="thin">
        <x:color rgb="FFD0D5DD"/>
      </x:top>
      <x:bottom style="thin">
        <x:color rgb="FF183153"/>
      </x:bottom>
    </x:border>
    <x:border>
      <x:top style="thin">
        <x:color rgb="FFD0D5DD"/>
      </x:top>
      <x:bottom style="thin">
        <x:color rgb="FF183153"/>
      </x:bottom>
    </x:border>
    <x:border>
      <x:right style="thin">
        <x:color rgb="FFD0D5DD"/>
      </x:right>
      <x:top style="thin">
        <x:color rgb="FFD0D5DD"/>
      </x:top>
      <x:bottom style="thin">
        <x:color rgb="FF183153"/>
      </x:bottom>
    </x:border>
    <x:border>
      <x:left style="thin">
        <x:color rgb="FFD0D5DD"/>
      </x:left>
    </x:border>
    <x:border>
      <x:left style="thin">
        <x:color rgb="FFE4E7EC"/>
      </x:left>
      <x:right style="thin">
        <x:color rgb="FFD0D5DD"/>
      </x:right>
      <x:bottom style="thin">
        <x:color rgb="FFE4E7EC"/>
      </x:bottom>
    </x:border>
    <x:border>
      <x:left style="thin">
        <x:color rgb="FFE4E7EC"/>
      </x:left>
      <x:right style="thin">
        <x:color rgb="FFD0D5DD"/>
      </x:right>
      <x:top style="thin">
        <x:color rgb="FFE4E7EC"/>
      </x:top>
      <x:bottom style="thin">
        <x:color rgb="FFE4E7EC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E4E7EC"/>
      </x:right>
      <x:top style="thin">
        <x:color rgb="FFE4E7EC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D0D5DD"/>
      </x:bottom>
    </x:border>
    <x:border>
      <x:left style="thin">
        <x:color rgb="FFE4E7EC"/>
      </x:left>
      <x:right style="thin">
        <x:color rgb="FFD0D5DD"/>
      </x:right>
      <x:top style="thin">
        <x:color rgb="FFE4E7EC"/>
      </x:top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2F75B5"/>
      </x:left>
      <x:top style="thin">
        <x:color rgb="FF2F75B5"/>
      </x:top>
    </x:border>
    <x:border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</x:border>
    <x:border>
      <x:right style="thin">
        <x:color rgb="FF2F75B5"/>
      </x:right>
    </x:border>
    <x:border>
      <x:left style="thin">
        <x:color rgb="FF2F75B5"/>
      </x:left>
      <x:bottom style="thin">
        <x:color rgb="FF2F75B5"/>
      </x:bottom>
    </x:border>
    <x:border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left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0" fontId="2" fillId="3" borderId="19" xfId="0" applyNumberFormat="1" applyFont="1" applyFill="1" applyBorder="1" applyAlignment="1">
      <x:alignment horizontal="left"/>
    </x:xf>
    <x:xf numFmtId="200" fontId="0" fillId="0" borderId="20" xfId="0" applyNumberFormat="1" applyFont="1" applyFill="1" applyBorder="1" applyAlignment="1">
      <x:alignment horizontal="center"/>
    </x:xf>
    <x:xf numFmtId="200" fontId="0" fillId="0" borderId="2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6" borderId="23" xfId="0" applyNumberFormat="1" applyFont="1" applyFill="1" applyBorder="1" applyAlignment="1">
      <x:alignment horizontal="center"/>
    </x:xf>
    <x:xf numFmtId="0" fontId="1" fillId="6" borderId="24" xfId="0" applyNumberFormat="1" applyFont="1" applyFill="1" applyBorder="1" applyAlignment="1">
      <x:alignment horizontal="center"/>
    </x:xf>
    <x:xf numFmtId="0" fontId="1" fillId="6" borderId="19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200" fontId="0" fillId="0" borderId="29" xfId="0" applyNumberFormat="1" applyFont="1" applyFill="1" applyBorder="1"/>
    <x:xf numFmtId="201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1" fillId="2" borderId="23" xfId="0" applyNumberFormat="1" applyFont="1" applyFill="1" applyBorder="1" applyAlignment="1">
      <x:alignment horizontal="center"/>
    </x:xf>
    <x:xf numFmtId="0" fontId="1" fillId="2" borderId="24" xfId="0" applyNumberFormat="1" applyFont="1" applyFill="1" applyBorder="1" applyAlignment="1">
      <x:alignment horizontal="center"/>
    </x:xf>
    <x:xf numFmtId="0" fontId="1" fillId="2" borderId="19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/>
    <x:xf numFmtId="201" fontId="0" fillId="0" borderId="8" xfId="0" applyNumberFormat="1" applyFont="1" applyFill="1" applyBorder="1"/>
    <x:xf numFmtId="0" fontId="2" fillId="3" borderId="10" xfId="0" applyNumberFormat="1" applyFont="1" applyFill="1" applyBorder="1"/>
    <x:xf numFmtId="201" fontId="0" fillId="0" borderId="1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31" xfId="0" applyNumberFormat="1" applyFont="1" applyFill="1" applyBorder="1"/>
    <x:xf numFmtId="0" fontId="6" fillId="6" borderId="32" xfId="0" applyNumberFormat="1" applyFont="1" applyFill="1" applyBorder="1"/>
    <x:xf numFmtId="0" fontId="6" fillId="6" borderId="33" xfId="0" applyNumberFormat="1" applyFont="1" applyFill="1" applyBorder="1"/>
    <x:xf numFmtId="0" fontId="6" fillId="6" borderId="34" xfId="0" applyNumberFormat="1" applyFont="1" applyFill="1" applyBorder="1"/>
    <x:xf numFmtId="0" fontId="6" fillId="6" borderId="35" xfId="0" applyNumberFormat="1" applyFont="1" applyFill="1" applyBorder="1"/>
    <x:xf numFmtId="0" fontId="6" fillId="6" borderId="36" xfId="0" applyNumberFormat="1" applyFont="1" applyFill="1" applyBorder="1"/>
    <x:xf numFmtId="0" fontId="6" fillId="6" borderId="37" xfId="0" applyNumberFormat="1" applyFont="1" applyFill="1" applyBorder="1"/>
    <x:xf numFmtId="0" fontId="6" fillId="6" borderId="38" xfId="0" applyNumberFormat="1" applyFont="1" applyFill="1" applyBorder="1"/>
    <x:xf numFmtId="201" fontId="6" fillId="6" borderId="31" xfId="0" applyNumberFormat="1" applyFont="1" applyFill="1" applyBorder="1"/>
    <x:xf numFmtId="201" fontId="6" fillId="6" borderId="32" xfId="0" applyNumberFormat="1" applyFont="1" applyFill="1" applyBorder="1"/>
    <x:xf numFmtId="201" fontId="6" fillId="6" borderId="33" xfId="0" applyNumberFormat="1" applyFont="1" applyFill="1" applyBorder="1"/>
    <x:xf numFmtId="201" fontId="6" fillId="6" borderId="34" xfId="0" applyNumberFormat="1" applyFont="1" applyFill="1" applyBorder="1"/>
    <x:xf numFmtId="201" fontId="6" fillId="6" borderId="0" xfId="0" applyNumberFormat="1" applyFont="1" applyFill="1" applyBorder="1"/>
    <x:xf numFmtId="201" fontId="6" fillId="6" borderId="35" xfId="0" applyNumberFormat="1" applyFont="1" applyFill="1" applyBorder="1"/>
    <x:xf numFmtId="201" fontId="6" fillId="6" borderId="36" xfId="0" applyNumberFormat="1" applyFont="1" applyFill="1" applyBorder="1"/>
    <x:xf numFmtId="201" fontId="6" fillId="6" borderId="37" xfId="0" applyNumberFormat="1" applyFont="1" applyFill="1" applyBorder="1"/>
    <x:xf numFmtId="201" fontId="6" fillId="6" borderId="38" xfId="0" applyNumberFormat="1" applyFont="1" applyFill="1" applyBorder="1"/>
    <x:xf numFmtId="201" fontId="6" fillId="6" borderId="31" xfId="0" applyNumberFormat="1" applyFont="1" applyFill="1" applyBorder="1" applyAlignment="1">
      <x:alignment horizontal="center"/>
    </x:xf>
    <x:xf numFmtId="201" fontId="6" fillId="6" borderId="32" xfId="0" applyNumberFormat="1" applyFont="1" applyFill="1" applyBorder="1" applyAlignment="1">
      <x:alignment horizontal="center"/>
    </x:xf>
    <x:xf numFmtId="201" fontId="6" fillId="6" borderId="33" xfId="0" applyNumberFormat="1" applyFont="1" applyFill="1" applyBorder="1" applyAlignment="1">
      <x:alignment horizontal="center"/>
    </x:xf>
    <x:xf numFmtId="201" fontId="6" fillId="6" borderId="34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35" xfId="0" applyNumberFormat="1" applyFont="1" applyFill="1" applyBorder="1" applyAlignment="1">
      <x:alignment horizontal="center"/>
    </x:xf>
    <x:xf numFmtId="201" fontId="6" fillId="6" borderId="36" xfId="0" applyNumberFormat="1" applyFont="1" applyFill="1" applyBorder="1" applyAlignment="1">
      <x:alignment horizontal="center"/>
    </x:xf>
    <x:xf numFmtId="201" fontId="6" fillId="6" borderId="37" xfId="0" applyNumberFormat="1" applyFont="1" applyFill="1" applyBorder="1" applyAlignment="1">
      <x:alignment horizontal="center"/>
    </x:xf>
    <x:xf numFmtId="201" fontId="6" fillId="6" borderId="38" xfId="0" applyNumberFormat="1" applyFont="1" applyFill="1" applyBorder="1" applyAlignment="1">
      <x:alignment horizontal="center"/>
    </x:xf>
    <x:xf numFmtId="201" fontId="6" fillId="6" borderId="31" xfId="0" applyNumberFormat="1" applyFont="1" applyFill="1" applyBorder="1" applyAlignment="1">
      <x:alignment horizontal="center" vertical="center"/>
    </x:xf>
    <x:xf numFmtId="201" fontId="6" fillId="6" borderId="32" xfId="0" applyNumberFormat="1" applyFont="1" applyFill="1" applyBorder="1" applyAlignment="1">
      <x:alignment horizontal="center" vertical="center"/>
    </x:xf>
    <x:xf numFmtId="201" fontId="6" fillId="6" borderId="33" xfId="0" applyNumberFormat="1" applyFont="1" applyFill="1" applyBorder="1" applyAlignment="1">
      <x:alignment horizontal="center" vertical="center"/>
    </x:xf>
    <x:xf numFmtId="201" fontId="6" fillId="6" borderId="34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35" xfId="0" applyNumberFormat="1" applyFont="1" applyFill="1" applyBorder="1" applyAlignment="1">
      <x:alignment horizontal="center" vertical="center"/>
    </x:xf>
    <x:xf numFmtId="201" fontId="6" fillId="6" borderId="36" xfId="0" applyNumberFormat="1" applyFont="1" applyFill="1" applyBorder="1" applyAlignment="1">
      <x:alignment horizontal="center" vertical="center"/>
    </x:xf>
    <x:xf numFmtId="201" fontId="6" fillId="6" borderId="37" xfId="0" applyNumberFormat="1" applyFont="1" applyFill="1" applyBorder="1" applyAlignment="1">
      <x:alignment horizontal="center" vertical="center"/>
    </x:xf>
    <x:xf numFmtId="201" fontId="6" fillId="6" borderId="38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9" xfId="0" applyNumberFormat="1" applyFont="1" applyFill="1" applyBorder="1"/>
    <x:xf numFmtId="0" fontId="6" fillId="7" borderId="40" xfId="0" applyNumberFormat="1" applyFont="1" applyFill="1" applyBorder="1"/>
    <x:xf numFmtId="0" fontId="6" fillId="7" borderId="41" xfId="0" applyNumberFormat="1" applyFont="1" applyFill="1" applyBorder="1"/>
    <x:xf numFmtId="0" fontId="6" fillId="7" borderId="42" xfId="0" applyNumberFormat="1" applyFont="1" applyFill="1" applyBorder="1"/>
    <x:xf numFmtId="0" fontId="6" fillId="7" borderId="43" xfId="0" applyNumberFormat="1" applyFont="1" applyFill="1" applyBorder="1"/>
    <x:xf numFmtId="0" fontId="6" fillId="7" borderId="44" xfId="0" applyNumberFormat="1" applyFont="1" applyFill="1" applyBorder="1"/>
    <x:xf numFmtId="0" fontId="6" fillId="7" borderId="45" xfId="0" applyNumberFormat="1" applyFont="1" applyFill="1" applyBorder="1"/>
    <x:xf numFmtId="0" fontId="6" fillId="7" borderId="46" xfId="0" applyNumberFormat="1" applyFont="1" applyFill="1" applyBorder="1"/>
    <x:xf numFmtId="201" fontId="6" fillId="7" borderId="39" xfId="0" applyNumberFormat="1" applyFont="1" applyFill="1" applyBorder="1"/>
    <x:xf numFmtId="201" fontId="6" fillId="7" borderId="40" xfId="0" applyNumberFormat="1" applyFont="1" applyFill="1" applyBorder="1"/>
    <x:xf numFmtId="201" fontId="6" fillId="7" borderId="41" xfId="0" applyNumberFormat="1" applyFont="1" applyFill="1" applyBorder="1"/>
    <x:xf numFmtId="201" fontId="6" fillId="7" borderId="42" xfId="0" applyNumberFormat="1" applyFont="1" applyFill="1" applyBorder="1"/>
    <x:xf numFmtId="201" fontId="6" fillId="7" borderId="0" xfId="0" applyNumberFormat="1" applyFont="1" applyFill="1" applyBorder="1"/>
    <x:xf numFmtId="201" fontId="6" fillId="7" borderId="43" xfId="0" applyNumberFormat="1" applyFont="1" applyFill="1" applyBorder="1"/>
    <x:xf numFmtId="201" fontId="6" fillId="7" borderId="44" xfId="0" applyNumberFormat="1" applyFont="1" applyFill="1" applyBorder="1"/>
    <x:xf numFmtId="201" fontId="6" fillId="7" borderId="45" xfId="0" applyNumberFormat="1" applyFont="1" applyFill="1" applyBorder="1"/>
    <x:xf numFmtId="201" fontId="6" fillId="7" borderId="46" xfId="0" applyNumberFormat="1" applyFont="1" applyFill="1" applyBorder="1"/>
    <x:xf numFmtId="201" fontId="6" fillId="7" borderId="39" xfId="0" applyNumberFormat="1" applyFont="1" applyFill="1" applyBorder="1" applyAlignment="1">
      <x:alignment horizontal="center"/>
    </x:xf>
    <x:xf numFmtId="201" fontId="6" fillId="7" borderId="40" xfId="0" applyNumberFormat="1" applyFont="1" applyFill="1" applyBorder="1" applyAlignment="1">
      <x:alignment horizontal="center"/>
    </x:xf>
    <x:xf numFmtId="201" fontId="6" fillId="7" borderId="41" xfId="0" applyNumberFormat="1" applyFont="1" applyFill="1" applyBorder="1" applyAlignment="1">
      <x:alignment horizontal="center"/>
    </x:xf>
    <x:xf numFmtId="201" fontId="6" fillId="7" borderId="42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201" fontId="6" fillId="7" borderId="43" xfId="0" applyNumberFormat="1" applyFont="1" applyFill="1" applyBorder="1" applyAlignment="1">
      <x:alignment horizontal="center"/>
    </x:xf>
    <x:xf numFmtId="201" fontId="6" fillId="7" borderId="44" xfId="0" applyNumberFormat="1" applyFont="1" applyFill="1" applyBorder="1" applyAlignment="1">
      <x:alignment horizontal="center"/>
    </x:xf>
    <x:xf numFmtId="201" fontId="6" fillId="7" borderId="45" xfId="0" applyNumberFormat="1" applyFont="1" applyFill="1" applyBorder="1" applyAlignment="1">
      <x:alignment horizontal="center"/>
    </x:xf>
    <x:xf numFmtId="201" fontId="6" fillId="7" borderId="46" xfId="0" applyNumberFormat="1" applyFont="1" applyFill="1" applyBorder="1" applyAlignment="1">
      <x:alignment horizontal="center"/>
    </x:xf>
    <x:xf numFmtId="201" fontId="6" fillId="7" borderId="39" xfId="0" applyNumberFormat="1" applyFont="1" applyFill="1" applyBorder="1" applyAlignment="1">
      <x:alignment horizontal="center" vertical="center"/>
    </x:xf>
    <x:xf numFmtId="201" fontId="6" fillId="7" borderId="40" xfId="0" applyNumberFormat="1" applyFont="1" applyFill="1" applyBorder="1" applyAlignment="1">
      <x:alignment horizontal="center" vertical="center"/>
    </x:xf>
    <x:xf numFmtId="201" fontId="6" fillId="7" borderId="41" xfId="0" applyNumberFormat="1" applyFont="1" applyFill="1" applyBorder="1" applyAlignment="1">
      <x:alignment horizontal="center" vertical="center"/>
    </x:xf>
    <x:xf numFmtId="201" fontId="6" fillId="7" borderId="42" xfId="0" applyNumberFormat="1" applyFont="1" applyFill="1" applyBorder="1" applyAlignment="1">
      <x:alignment horizontal="center" vertical="center"/>
    </x:xf>
    <x:xf numFmtId="201" fontId="6" fillId="7" borderId="0" xfId="0" applyNumberFormat="1" applyFont="1" applyFill="1" applyBorder="1" applyAlignment="1">
      <x:alignment horizontal="center" vertical="center"/>
    </x:xf>
    <x:xf numFmtId="201" fontId="6" fillId="7" borderId="43" xfId="0" applyNumberFormat="1" applyFont="1" applyFill="1" applyBorder="1" applyAlignment="1">
      <x:alignment horizontal="center" vertical="center"/>
    </x:xf>
    <x:xf numFmtId="201" fontId="6" fillId="7" borderId="44" xfId="0" applyNumberFormat="1" applyFont="1" applyFill="1" applyBorder="1" applyAlignment="1">
      <x:alignment horizontal="center" vertical="center"/>
    </x:xf>
    <x:xf numFmtId="201" fontId="6" fillId="7" borderId="45" xfId="0" applyNumberFormat="1" applyFont="1" applyFill="1" applyBorder="1" applyAlignment="1">
      <x:alignment horizontal="center" vertical="center"/>
    </x:xf>
    <x:xf numFmtId="201" fontId="6" fillId="7" borderId="4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7" xfId="0" applyNumberFormat="1" applyFont="1" applyFill="1" applyBorder="1"/>
    <x:xf numFmtId="0" fontId="6" fillId="8" borderId="48" xfId="0" applyNumberFormat="1" applyFont="1" applyFill="1" applyBorder="1"/>
    <x:xf numFmtId="0" fontId="6" fillId="8" borderId="49" xfId="0" applyNumberFormat="1" applyFont="1" applyFill="1" applyBorder="1"/>
    <x:xf numFmtId="0" fontId="6" fillId="8" borderId="50" xfId="0" applyNumberFormat="1" applyFont="1" applyFill="1" applyBorder="1"/>
    <x:xf numFmtId="0" fontId="6" fillId="8" borderId="51" xfId="0" applyNumberFormat="1" applyFont="1" applyFill="1" applyBorder="1"/>
    <x:xf numFmtId="0" fontId="6" fillId="8" borderId="52" xfId="0" applyNumberFormat="1" applyFont="1" applyFill="1" applyBorder="1"/>
    <x:xf numFmtId="0" fontId="6" fillId="8" borderId="53" xfId="0" applyNumberFormat="1" applyFont="1" applyFill="1" applyBorder="1"/>
    <x:xf numFmtId="0" fontId="6" fillId="8" borderId="54" xfId="0" applyNumberFormat="1" applyFont="1" applyFill="1" applyBorder="1"/>
    <x:xf numFmtId="201" fontId="6" fillId="8" borderId="47" xfId="0" applyNumberFormat="1" applyFont="1" applyFill="1" applyBorder="1"/>
    <x:xf numFmtId="201" fontId="6" fillId="8" borderId="48" xfId="0" applyNumberFormat="1" applyFont="1" applyFill="1" applyBorder="1"/>
    <x:xf numFmtId="201" fontId="6" fillId="8" borderId="49" xfId="0" applyNumberFormat="1" applyFont="1" applyFill="1" applyBorder="1"/>
    <x:xf numFmtId="201" fontId="6" fillId="8" borderId="50" xfId="0" applyNumberFormat="1" applyFont="1" applyFill="1" applyBorder="1"/>
    <x:xf numFmtId="201" fontId="6" fillId="8" borderId="0" xfId="0" applyNumberFormat="1" applyFont="1" applyFill="1" applyBorder="1"/>
    <x:xf numFmtId="201" fontId="6" fillId="8" borderId="51" xfId="0" applyNumberFormat="1" applyFont="1" applyFill="1" applyBorder="1"/>
    <x:xf numFmtId="201" fontId="6" fillId="8" borderId="52" xfId="0" applyNumberFormat="1" applyFont="1" applyFill="1" applyBorder="1"/>
    <x:xf numFmtId="201" fontId="6" fillId="8" borderId="53" xfId="0" applyNumberFormat="1" applyFont="1" applyFill="1" applyBorder="1"/>
    <x:xf numFmtId="201" fontId="6" fillId="8" borderId="54" xfId="0" applyNumberFormat="1" applyFont="1" applyFill="1" applyBorder="1"/>
    <x:xf numFmtId="201" fontId="6" fillId="8" borderId="47" xfId="0" applyNumberFormat="1" applyFont="1" applyFill="1" applyBorder="1" applyAlignment="1">
      <x:alignment horizontal="center"/>
    </x:xf>
    <x:xf numFmtId="201" fontId="6" fillId="8" borderId="48" xfId="0" applyNumberFormat="1" applyFont="1" applyFill="1" applyBorder="1" applyAlignment="1">
      <x:alignment horizontal="center"/>
    </x:xf>
    <x:xf numFmtId="201" fontId="6" fillId="8" borderId="49" xfId="0" applyNumberFormat="1" applyFont="1" applyFill="1" applyBorder="1" applyAlignment="1">
      <x:alignment horizontal="center"/>
    </x:xf>
    <x:xf numFmtId="201" fontId="6" fillId="8" borderId="50" xfId="0" applyNumberFormat="1" applyFont="1" applyFill="1" applyBorder="1" applyAlignment="1">
      <x:alignment horizontal="center"/>
    </x:xf>
    <x:xf numFmtId="201" fontId="6" fillId="8" borderId="0" xfId="0" applyNumberFormat="1" applyFont="1" applyFill="1" applyBorder="1" applyAlignment="1">
      <x:alignment horizontal="center"/>
    </x:xf>
    <x:xf numFmtId="201" fontId="6" fillId="8" borderId="51" xfId="0" applyNumberFormat="1" applyFont="1" applyFill="1" applyBorder="1" applyAlignment="1">
      <x:alignment horizontal="center"/>
    </x:xf>
    <x:xf numFmtId="201" fontId="6" fillId="8" borderId="52" xfId="0" applyNumberFormat="1" applyFont="1" applyFill="1" applyBorder="1" applyAlignment="1">
      <x:alignment horizontal="center"/>
    </x:xf>
    <x:xf numFmtId="201" fontId="6" fillId="8" borderId="53" xfId="0" applyNumberFormat="1" applyFont="1" applyFill="1" applyBorder="1" applyAlignment="1">
      <x:alignment horizontal="center"/>
    </x:xf>
    <x:xf numFmtId="201" fontId="6" fillId="8" borderId="54" xfId="0" applyNumberFormat="1" applyFont="1" applyFill="1" applyBorder="1" applyAlignment="1">
      <x:alignment horizontal="center"/>
    </x:xf>
    <x:xf numFmtId="201" fontId="6" fillId="8" borderId="47" xfId="0" applyNumberFormat="1" applyFont="1" applyFill="1" applyBorder="1" applyAlignment="1">
      <x:alignment horizontal="center" vertical="center"/>
    </x:xf>
    <x:xf numFmtId="201" fontId="6" fillId="8" borderId="48" xfId="0" applyNumberFormat="1" applyFont="1" applyFill="1" applyBorder="1" applyAlignment="1">
      <x:alignment horizontal="center" vertical="center"/>
    </x:xf>
    <x:xf numFmtId="201" fontId="6" fillId="8" borderId="49" xfId="0" applyNumberFormat="1" applyFont="1" applyFill="1" applyBorder="1" applyAlignment="1">
      <x:alignment horizontal="center" vertical="center"/>
    </x:xf>
    <x:xf numFmtId="201" fontId="6" fillId="8" borderId="50" xfId="0" applyNumberFormat="1" applyFont="1" applyFill="1" applyBorder="1" applyAlignment="1">
      <x:alignment horizontal="center" vertical="center"/>
    </x:xf>
    <x:xf numFmtId="201" fontId="6" fillId="8" borderId="0" xfId="0" applyNumberFormat="1" applyFont="1" applyFill="1" applyBorder="1" applyAlignment="1">
      <x:alignment horizontal="center" vertical="center"/>
    </x:xf>
    <x:xf numFmtId="201" fontId="6" fillId="8" borderId="51" xfId="0" applyNumberFormat="1" applyFont="1" applyFill="1" applyBorder="1" applyAlignment="1">
      <x:alignment horizontal="center" vertical="center"/>
    </x:xf>
    <x:xf numFmtId="201" fontId="6" fillId="8" borderId="52" xfId="0" applyNumberFormat="1" applyFont="1" applyFill="1" applyBorder="1" applyAlignment="1">
      <x:alignment horizontal="center" vertical="center"/>
    </x:xf>
    <x:xf numFmtId="201" fontId="6" fillId="8" borderId="53" xfId="0" applyNumberFormat="1" applyFont="1" applyFill="1" applyBorder="1" applyAlignment="1">
      <x:alignment horizontal="center" vertical="center"/>
    </x:xf>
    <x:xf numFmtId="201" fontId="6" fillId="8" borderId="5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55" xfId="0" applyNumberFormat="1" applyFont="1" applyFill="1" applyBorder="1"/>
    <x:xf numFmtId="0" fontId="6" fillId="9" borderId="56" xfId="0" applyNumberFormat="1" applyFont="1" applyFill="1" applyBorder="1"/>
    <x:xf numFmtId="0" fontId="6" fillId="9" borderId="57" xfId="0" applyNumberFormat="1" applyFont="1" applyFill="1" applyBorder="1"/>
    <x:xf numFmtId="0" fontId="6" fillId="9" borderId="58" xfId="0" applyNumberFormat="1" applyFont="1" applyFill="1" applyBorder="1"/>
    <x:xf numFmtId="0" fontId="6" fillId="9" borderId="59" xfId="0" applyNumberFormat="1" applyFont="1" applyFill="1" applyBorder="1"/>
    <x:xf numFmtId="0" fontId="6" fillId="9" borderId="60" xfId="0" applyNumberFormat="1" applyFont="1" applyFill="1" applyBorder="1"/>
    <x:xf numFmtId="201" fontId="6" fillId="9" borderId="55" xfId="0" applyNumberFormat="1" applyFont="1" applyFill="1" applyBorder="1"/>
    <x:xf numFmtId="201" fontId="6" fillId="9" borderId="56" xfId="0" applyNumberFormat="1" applyFont="1" applyFill="1" applyBorder="1"/>
    <x:xf numFmtId="201" fontId="6" fillId="9" borderId="57" xfId="0" applyNumberFormat="1" applyFont="1" applyFill="1" applyBorder="1"/>
    <x:xf numFmtId="201" fontId="6" fillId="9" borderId="58" xfId="0" applyNumberFormat="1" applyFont="1" applyFill="1" applyBorder="1"/>
    <x:xf numFmtId="201" fontId="6" fillId="9" borderId="59" xfId="0" applyNumberFormat="1" applyFont="1" applyFill="1" applyBorder="1"/>
    <x:xf numFmtId="201" fontId="6" fillId="9" borderId="60" xfId="0" applyNumberFormat="1" applyFont="1" applyFill="1" applyBorder="1"/>
    <x:xf numFmtId="201" fontId="6" fillId="9" borderId="55" xfId="0" applyNumberFormat="1" applyFont="1" applyFill="1" applyBorder="1" applyAlignment="1">
      <x:alignment horizontal="center"/>
    </x:xf>
    <x:xf numFmtId="201" fontId="6" fillId="9" borderId="56" xfId="0" applyNumberFormat="1" applyFont="1" applyFill="1" applyBorder="1" applyAlignment="1">
      <x:alignment horizontal="center"/>
    </x:xf>
    <x:xf numFmtId="201" fontId="6" fillId="9" borderId="57" xfId="0" applyNumberFormat="1" applyFont="1" applyFill="1" applyBorder="1" applyAlignment="1">
      <x:alignment horizontal="center"/>
    </x:xf>
    <x:xf numFmtId="201" fontId="6" fillId="9" borderId="58" xfId="0" applyNumberFormat="1" applyFont="1" applyFill="1" applyBorder="1" applyAlignment="1">
      <x:alignment horizontal="center"/>
    </x:xf>
    <x:xf numFmtId="201" fontId="6" fillId="9" borderId="59" xfId="0" applyNumberFormat="1" applyFont="1" applyFill="1" applyBorder="1" applyAlignment="1">
      <x:alignment horizontal="center"/>
    </x:xf>
    <x:xf numFmtId="201" fontId="6" fillId="9" borderId="60" xfId="0" applyNumberFormat="1" applyFont="1" applyFill="1" applyBorder="1" applyAlignment="1">
      <x:alignment horizontal="center"/>
    </x:xf>
    <x:xf numFmtId="201" fontId="6" fillId="9" borderId="55" xfId="0" applyNumberFormat="1" applyFont="1" applyFill="1" applyBorder="1" applyAlignment="1">
      <x:alignment horizontal="center" vertical="center"/>
    </x:xf>
    <x:xf numFmtId="201" fontId="6" fillId="9" borderId="56" xfId="0" applyNumberFormat="1" applyFont="1" applyFill="1" applyBorder="1" applyAlignment="1">
      <x:alignment horizontal="center" vertical="center"/>
    </x:xf>
    <x:xf numFmtId="201" fontId="6" fillId="9" borderId="57" xfId="0" applyNumberFormat="1" applyFont="1" applyFill="1" applyBorder="1" applyAlignment="1">
      <x:alignment horizontal="center" vertical="center"/>
    </x:xf>
    <x:xf numFmtId="201" fontId="6" fillId="9" borderId="58" xfId="0" applyNumberFormat="1" applyFont="1" applyFill="1" applyBorder="1" applyAlignment="1">
      <x:alignment horizontal="center" vertical="center"/>
    </x:xf>
    <x:xf numFmtId="201" fontId="6" fillId="9" borderId="59" xfId="0" applyNumberFormat="1" applyFont="1" applyFill="1" applyBorder="1" applyAlignment="1">
      <x:alignment horizontal="center" vertical="center"/>
    </x:xf>
    <x:xf numFmtId="201" fontId="6" fillId="9" borderId="60" xfId="0" applyNumberFormat="1" applyFont="1" applyFill="1" applyBorder="1" applyAlignment="1">
      <x:alignment horizontal="center" vertical="center"/>
    </x:xf>
    <x:xf numFmtId="0" fontId="0" fillId="0" borderId="61" xfId="0" applyNumberFormat="1" applyFont="1" applyFill="1" applyBorder="1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9" xfId="0" applyNumberFormat="1" applyFont="1" applyFill="1" applyBorder="1"/>
    <x:xf numFmtId="200" fontId="0" fillId="0" borderId="61" xfId="0" applyNumberFormat="1" applyFont="1" applyFill="1" applyBorder="1"/>
    <x:xf numFmtId="200" fontId="0" fillId="0" borderId="62" xfId="0" applyNumberFormat="1" applyFont="1" applyFill="1" applyBorder="1"/>
    <x:xf numFmtId="200" fontId="0" fillId="0" borderId="63" xfId="0" applyNumberFormat="1" applyFont="1" applyFill="1" applyBorder="1"/>
    <x:xf numFmtId="200" fontId="0" fillId="0" borderId="64" xfId="0" applyNumberFormat="1" applyFont="1" applyFill="1" applyBorder="1"/>
    <x:xf numFmtId="200" fontId="0" fillId="0" borderId="65" xfId="0" applyNumberFormat="1" applyFont="1" applyFill="1" applyBorder="1"/>
    <x:xf numFmtId="200" fontId="0" fillId="0" borderId="66" xfId="0" applyNumberFormat="1" applyFont="1" applyFill="1" applyBorder="1"/>
    <x:xf numFmtId="200" fontId="0" fillId="0" borderId="67" xfId="0" applyNumberFormat="1" applyFont="1" applyFill="1" applyBorder="1"/>
    <x:xf numFmtId="200" fontId="0" fillId="0" borderId="68" xfId="0" applyNumberFormat="1" applyFont="1" applyFill="1" applyBorder="1"/>
    <x:xf numFmtId="200" fontId="0" fillId="0" borderId="69" xfId="0" applyNumberFormat="1" applyFont="1" applyFill="1" applyBorder="1"/>
    <x:xf numFmtId="200" fontId="0" fillId="0" borderId="61" xfId="0" applyNumberFormat="1" applyFont="1" applyFill="1" applyBorder="1" applyAlignment="1">
      <x:alignment horizontal="center"/>
    </x:xf>
    <x:xf numFmtId="200" fontId="0" fillId="0" borderId="62" xfId="0" applyNumberFormat="1" applyFont="1" applyFill="1" applyBorder="1" applyAlignment="1">
      <x:alignment horizontal="center"/>
    </x:xf>
    <x:xf numFmtId="200" fontId="0" fillId="0" borderId="63" xfId="0" applyNumberFormat="1" applyFont="1" applyFill="1" applyBorder="1" applyAlignment="1">
      <x:alignment horizontal="center"/>
    </x:xf>
    <x:xf numFmtId="200" fontId="0" fillId="0" borderId="64" xfId="0" applyNumberFormat="1" applyFont="1" applyFill="1" applyBorder="1" applyAlignment="1">
      <x:alignment horizontal="center"/>
    </x:xf>
    <x:xf numFmtId="200" fontId="0" fillId="0" borderId="65" xfId="0" applyNumberFormat="1" applyFont="1" applyFill="1" applyBorder="1" applyAlignment="1">
      <x:alignment horizontal="center"/>
    </x:xf>
    <x:xf numFmtId="200" fontId="0" fillId="0" borderId="66" xfId="0" applyNumberFormat="1" applyFont="1" applyFill="1" applyBorder="1" applyAlignment="1">
      <x:alignment horizontal="center"/>
    </x:xf>
    <x:xf numFmtId="200" fontId="0" fillId="0" borderId="67" xfId="0" applyNumberFormat="1" applyFont="1" applyFill="1" applyBorder="1" applyAlignment="1">
      <x:alignment horizontal="center"/>
    </x:xf>
    <x:xf numFmtId="200" fontId="0" fillId="0" borderId="68" xfId="0" applyNumberFormat="1" applyFont="1" applyFill="1" applyBorder="1" applyAlignment="1">
      <x:alignment horizontal="center"/>
    </x:xf>
    <x:xf numFmtId="200" fontId="0" fillId="0" borderId="69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41a78800d4c53" /><Relationship Type="http://schemas.openxmlformats.org/officeDocument/2006/relationships/theme" Target="/xl/theme/theme1.xml" Id="Rb1eb83511f8148b1" /><Relationship Type="http://schemas.openxmlformats.org/officeDocument/2006/relationships/sharedStrings" Target="/xl/sharedStrings.xml" Id="Rf501ba6b908d4702" /><Relationship Type="http://schemas.openxmlformats.org/officeDocument/2006/relationships/worksheet" Target="/xl/worksheets/sheet1.xml" Id="Rbe0e4bd327fb4161" /><Relationship Type="http://schemas.openxmlformats.org/officeDocument/2006/relationships/worksheet" Target="/xl/worksheets/sheet2.xml" Id="Rd87e41a9338b4be4" /><Relationship Type="http://schemas.openxmlformats.org/officeDocument/2006/relationships/worksheet" Target="/xl/worksheets/sheet3.xml" Id="Rb4fb6eebd6364a6a" /><Relationship Type="http://schemas.openxmlformats.org/officeDocument/2006/relationships/worksheet" Target="/xl/worksheets/sheet4.xml" Id="Rc9d41077055e4f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8d34d2dc72490b" /><Relationship Type="http://schemas.openxmlformats.org/officeDocument/2006/relationships/chart" Target="/xl/drawings/charts/chart2.xml" Id="R3419f8ce59ce4e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Coverage by feature (%)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Coverage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Report ranking by capability score (%)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Capability Score</c:v>
          </c:tx>
          <c:cat>
            <c:strRef>
              <c:f>'Dashboard'!$B$25:$B$44</c:f>
              <c:strCache>
                <c:ptCount val="0"/>
              </c:strCache>
            </c:strRef>
          </c:cat>
          <c:val>
            <c:numRef>
              <c:f>'Dashboard'!$C$25:$C$44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d34d2dc72490b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19f8ce59ce4e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ReportData" displayName="RawReportData" ref="A1:K21" headerRowCount="1" totalsRowCount="0" totalsRowShown="0">
  <x:tableColumns count="11">
    <x:tableColumn id="1" name="Report ID"/>
    <x:tableColumn id="2" name="Executive Summary"/>
    <x:tableColumn id="3" name="Scenario Branch"/>
    <x:tableColumn id="4" name="Metadata Completeness"/>
    <x:tableColumn id="5" name="Financial Grid"/>
    <x:tableColumn id="6" name="Chart Compliance"/>
    <x:tableColumn id="7" name="Chart-Text Coherence"/>
    <x:tableColumn id="8" name="Cross-Asset Nature"/>
    <x:tableColumn id="9" name="Macro-Micro Link"/>
    <x:tableColumn id="10" name="Multi-Risk Coverage"/>
    <x:tableColumn id="11" name="Proprietary Alp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99c04ff9d40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f1dc19e6c9e43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48" t="str">
        <x:v>Report ID</x:v>
      </x:c>
      <x:c r="B1" s="49" t="str">
        <x:v>Executive Summary</x:v>
      </x:c>
      <x:c r="C1" s="49" t="str">
        <x:v>Scenario Branch</x:v>
      </x:c>
      <x:c r="D1" s="49" t="str">
        <x:v>Metadata Completeness</x:v>
      </x:c>
      <x:c r="E1" s="49" t="str">
        <x:v>Financial Grid</x:v>
      </x:c>
      <x:c r="F1" s="49" t="str">
        <x:v>Chart Compliance</x:v>
      </x:c>
      <x:c r="G1" s="49" t="str">
        <x:v>Chart-Text Coherence</x:v>
      </x:c>
      <x:c r="H1" s="49" t="str">
        <x:v>Cross-Asset Nature</x:v>
      </x:c>
      <x:c r="I1" s="49" t="str">
        <x:v>Macro-Micro Link</x:v>
      </x:c>
      <x:c r="J1" s="49" t="str">
        <x:v>Multi-Risk Coverage</x:v>
      </x:c>
      <x:c r="K1" s="50" t="str">
        <x:v>Proprietary Alpha</x:v>
      </x:c>
    </x:row>
    <x:row r="2">
      <x:c r="A2" s="51" t="str">
        <x:v>Report 00</x:v>
      </x:c>
      <x:c r="B2" s="36" t="n">
        <x:v>1</x:v>
      </x:c>
      <x:c r="C2" s="37" t="n">
        <x:v>0</x:v>
      </x:c>
      <x:c r="D2" s="37" t="n">
        <x:v>1</x:v>
      </x:c>
      <x:c r="E2" s="37" t="n">
        <x:v>0</x:v>
      </x:c>
      <x:c r="F2" s="37" t="n">
        <x:v>1</x:v>
      </x:c>
      <x:c r="G2" s="37" t="n">
        <x:v>1</x:v>
      </x:c>
      <x:c r="H2" s="37" t="n">
        <x:v>1</x:v>
      </x:c>
      <x:c r="I2" s="37" t="n">
        <x:v>1</x:v>
      </x:c>
      <x:c r="J2" s="37" t="n">
        <x:v>0</x:v>
      </x:c>
      <x:c r="K2" s="52" t="n">
        <x:v>1</x:v>
      </x:c>
    </x:row>
    <x:row r="3">
      <x:c r="A3" s="51" t="str">
        <x:v>Report 01</x:v>
      </x:c>
      <x:c r="B3" s="39" t="n">
        <x:v>1</x:v>
      </x:c>
      <x:c r="C3" s="40" t="n">
        <x:v>0</x:v>
      </x:c>
      <x:c r="D3" s="40" t="n">
        <x:v>1</x:v>
      </x:c>
      <x:c r="E3" s="40" t="n">
        <x:v>0</x:v>
      </x:c>
      <x:c r="F3" s="40" t="n">
        <x:v>1</x:v>
      </x:c>
      <x:c r="G3" s="40" t="n">
        <x:v>1</x:v>
      </x:c>
      <x:c r="H3" s="40" t="n">
        <x:v>0</x:v>
      </x:c>
      <x:c r="I3" s="40" t="n">
        <x:v>1</x:v>
      </x:c>
      <x:c r="J3" s="40" t="n">
        <x:v>0</x:v>
      </x:c>
      <x:c r="K3" s="53" t="n">
        <x:v>1</x:v>
      </x:c>
    </x:row>
    <x:row r="4">
      <x:c r="A4" s="51" t="str">
        <x:v>Report 02</x:v>
      </x:c>
      <x:c r="B4" s="39" t="n">
        <x:v>1</x:v>
      </x:c>
      <x:c r="C4" s="40" t="n">
        <x:v>0</x:v>
      </x:c>
      <x:c r="D4" s="40" t="n">
        <x:v>1</x:v>
      </x:c>
      <x:c r="E4" s="40" t="n">
        <x:v>0</x:v>
      </x:c>
      <x:c r="F4" s="40" t="n">
        <x:v>1</x:v>
      </x:c>
      <x:c r="G4" s="40" t="n">
        <x:v>1</x:v>
      </x:c>
      <x:c r="H4" s="40" t="n">
        <x:v>0</x:v>
      </x:c>
      <x:c r="I4" s="40" t="n">
        <x:v>1</x:v>
      </x:c>
      <x:c r="J4" s="40" t="n">
        <x:v>0</x:v>
      </x:c>
      <x:c r="K4" s="53" t="n">
        <x:v>1</x:v>
      </x:c>
    </x:row>
    <x:row r="5">
      <x:c r="A5" s="51" t="str">
        <x:v>Report 03</x:v>
      </x:c>
      <x:c r="B5" s="39" t="n">
        <x:v>1</x:v>
      </x:c>
      <x:c r="C5" s="40" t="n">
        <x:v>0</x:v>
      </x:c>
      <x:c r="D5" s="40" t="n">
        <x:v>1</x:v>
      </x:c>
      <x:c r="E5" s="40" t="n">
        <x:v>0</x:v>
      </x:c>
      <x:c r="F5" s="40" t="n">
        <x:v>1</x:v>
      </x:c>
      <x:c r="G5" s="40" t="n">
        <x:v>1</x:v>
      </x:c>
      <x:c r="H5" s="40" t="n">
        <x:v>1</x:v>
      </x:c>
      <x:c r="I5" s="40" t="n">
        <x:v>1</x:v>
      </x:c>
      <x:c r="J5" s="40" t="n">
        <x:v>1</x:v>
      </x:c>
      <x:c r="K5" s="53" t="n">
        <x:v>0</x:v>
      </x:c>
    </x:row>
    <x:row r="6">
      <x:c r="A6" s="51" t="str">
        <x:v>Report 04</x:v>
      </x:c>
      <x:c r="B6" s="39" t="n">
        <x:v>1</x:v>
      </x:c>
      <x:c r="C6" s="40" t="n">
        <x:v>0</x:v>
      </x:c>
      <x:c r="D6" s="40" t="n">
        <x:v>1</x:v>
      </x:c>
      <x:c r="E6" s="40" t="n">
        <x:v>0</x:v>
      </x:c>
      <x:c r="F6" s="40" t="n">
        <x:v>1</x:v>
      </x:c>
      <x:c r="G6" s="40" t="n">
        <x:v>0</x:v>
      </x:c>
      <x:c r="H6" s="40" t="n">
        <x:v>1</x:v>
      </x:c>
      <x:c r="I6" s="40" t="n">
        <x:v>1</x:v>
      </x:c>
      <x:c r="J6" s="40" t="n">
        <x:v>0</x:v>
      </x:c>
      <x:c r="K6" s="53" t="n">
        <x:v>1</x:v>
      </x:c>
    </x:row>
    <x:row r="7">
      <x:c r="A7" s="51" t="str">
        <x:v>Report 05</x:v>
      </x:c>
      <x:c r="B7" s="39" t="n">
        <x:v>1</x:v>
      </x:c>
      <x:c r="C7" s="40" t="n">
        <x:v>0</x:v>
      </x:c>
      <x:c r="D7" s="40" t="n">
        <x:v>1</x:v>
      </x:c>
      <x:c r="E7" s="40" t="n">
        <x:v>0</x:v>
      </x:c>
      <x:c r="F7" s="40" t="n">
        <x:v>1</x:v>
      </x:c>
      <x:c r="G7" s="40" t="n">
        <x:v>1</x:v>
      </x:c>
      <x:c r="H7" s="40" t="n">
        <x:v>1</x:v>
      </x:c>
      <x:c r="I7" s="40" t="n">
        <x:v>1</x:v>
      </x:c>
      <x:c r="J7" s="40" t="n">
        <x:v>0</x:v>
      </x:c>
      <x:c r="K7" s="53" t="n">
        <x:v>1</x:v>
      </x:c>
    </x:row>
    <x:row r="8">
      <x:c r="A8" s="51" t="str">
        <x:v>Report 06</x:v>
      </x:c>
      <x:c r="B8" s="39" t="n">
        <x:v>1</x:v>
      </x:c>
      <x:c r="C8" s="40" t="n">
        <x:v>0</x:v>
      </x:c>
      <x:c r="D8" s="40" t="n">
        <x:v>1</x:v>
      </x:c>
      <x:c r="E8" s="40" t="n">
        <x:v>0</x:v>
      </x:c>
      <x:c r="F8" s="40" t="n">
        <x:v>1</x:v>
      </x:c>
      <x:c r="G8" s="40" t="n">
        <x:v>1</x:v>
      </x:c>
      <x:c r="H8" s="40" t="n">
        <x:v>0</x:v>
      </x:c>
      <x:c r="I8" s="40" t="n">
        <x:v>1</x:v>
      </x:c>
      <x:c r="J8" s="40" t="n">
        <x:v>0</x:v>
      </x:c>
      <x:c r="K8" s="53" t="n">
        <x:v>1</x:v>
      </x:c>
    </x:row>
    <x:row r="9">
      <x:c r="A9" s="51" t="str">
        <x:v>Report 07</x:v>
      </x:c>
      <x:c r="B9" s="39" t="n">
        <x:v>1</x:v>
      </x:c>
      <x:c r="C9" s="40" t="n">
        <x:v>0</x:v>
      </x:c>
      <x:c r="D9" s="40" t="n">
        <x:v>1</x:v>
      </x:c>
      <x:c r="E9" s="40" t="n">
        <x:v>0</x:v>
      </x:c>
      <x:c r="F9" s="40" t="n">
        <x:v>1</x:v>
      </x:c>
      <x:c r="G9" s="40" t="n">
        <x:v>1</x:v>
      </x:c>
      <x:c r="H9" s="40" t="n">
        <x:v>1</x:v>
      </x:c>
      <x:c r="I9" s="40" t="n">
        <x:v>1</x:v>
      </x:c>
      <x:c r="J9" s="40" t="n">
        <x:v>1</x:v>
      </x:c>
      <x:c r="K9" s="53" t="n">
        <x:v>1</x:v>
      </x:c>
    </x:row>
    <x:row r="10">
      <x:c r="A10" s="51" t="str">
        <x:v>Report 08</x:v>
      </x:c>
      <x:c r="B10" s="39" t="n">
        <x:v>1</x:v>
      </x:c>
      <x:c r="C10" s="40" t="n">
        <x:v>0</x:v>
      </x:c>
      <x:c r="D10" s="40" t="n">
        <x:v>1</x:v>
      </x:c>
      <x:c r="E10" s="40" t="n">
        <x:v>0</x:v>
      </x:c>
      <x:c r="F10" s="40" t="n">
        <x:v>1</x:v>
      </x:c>
      <x:c r="G10" s="40" t="n">
        <x:v>1</x:v>
      </x:c>
      <x:c r="H10" s="40" t="n">
        <x:v>1</x:v>
      </x:c>
      <x:c r="I10" s="40" t="n">
        <x:v>1</x:v>
      </x:c>
      <x:c r="J10" s="40" t="n">
        <x:v>0</x:v>
      </x:c>
      <x:c r="K10" s="53" t="n">
        <x:v>0</x:v>
      </x:c>
    </x:row>
    <x:row r="11">
      <x:c r="A11" s="51" t="str">
        <x:v>Report 09</x:v>
      </x:c>
      <x:c r="B11" s="39" t="n">
        <x:v>1</x:v>
      </x:c>
      <x:c r="C11" s="40" t="n">
        <x:v>0</x:v>
      </x:c>
      <x:c r="D11" s="40" t="n">
        <x:v>1</x:v>
      </x:c>
      <x:c r="E11" s="40" t="n">
        <x:v>0</x:v>
      </x:c>
      <x:c r="F11" s="40" t="n">
        <x:v>1</x:v>
      </x:c>
      <x:c r="G11" s="40" t="n">
        <x:v>1</x:v>
      </x:c>
      <x:c r="H11" s="40" t="n">
        <x:v>1</x:v>
      </x:c>
      <x:c r="I11" s="40" t="n">
        <x:v>1</x:v>
      </x:c>
      <x:c r="J11" s="40" t="n">
        <x:v>0</x:v>
      </x:c>
      <x:c r="K11" s="53" t="n">
        <x:v>0</x:v>
      </x:c>
    </x:row>
    <x:row r="12">
      <x:c r="A12" s="51" t="str">
        <x:v>Report 10</x:v>
      </x:c>
      <x:c r="B12" s="39" t="n">
        <x:v>1</x:v>
      </x:c>
      <x:c r="C12" s="40" t="n">
        <x:v>0</x:v>
      </x:c>
      <x:c r="D12" s="40" t="n">
        <x:v>1</x:v>
      </x:c>
      <x:c r="E12" s="40" t="n">
        <x:v>0</x:v>
      </x:c>
      <x:c r="F12" s="40" t="n">
        <x:v>1</x:v>
      </x:c>
      <x:c r="G12" s="40" t="n">
        <x:v>1</x:v>
      </x:c>
      <x:c r="H12" s="40" t="n">
        <x:v>1</x:v>
      </x:c>
      <x:c r="I12" s="40" t="n">
        <x:v>1</x:v>
      </x:c>
      <x:c r="J12" s="40" t="n">
        <x:v>0</x:v>
      </x:c>
      <x:c r="K12" s="53" t="n">
        <x:v>0</x:v>
      </x:c>
    </x:row>
    <x:row r="13">
      <x:c r="A13" s="51" t="str">
        <x:v>Report 11</x:v>
      </x:c>
      <x:c r="B13" s="39" t="n">
        <x:v>1</x:v>
      </x:c>
      <x:c r="C13" s="40" t="n">
        <x:v>0</x:v>
      </x:c>
      <x:c r="D13" s="40" t="n">
        <x:v>1</x:v>
      </x:c>
      <x:c r="E13" s="40" t="n">
        <x:v>1</x:v>
      </x:c>
      <x:c r="F13" s="40" t="n">
        <x:v>1</x:v>
      </x:c>
      <x:c r="G13" s="40" t="n">
        <x:v>0</x:v>
      </x:c>
      <x:c r="H13" s="40" t="n">
        <x:v>1</x:v>
      </x:c>
      <x:c r="I13" s="40" t="n">
        <x:v>1</x:v>
      </x:c>
      <x:c r="J13" s="40" t="n">
        <x:v>0</x:v>
      </x:c>
      <x:c r="K13" s="53" t="n">
        <x:v>0</x:v>
      </x:c>
    </x:row>
    <x:row r="14">
      <x:c r="A14" s="51" t="str">
        <x:v>Report 12</x:v>
      </x:c>
      <x:c r="B14" s="39" t="n">
        <x:v>1</x:v>
      </x:c>
      <x:c r="C14" s="40" t="n">
        <x:v>0</x:v>
      </x:c>
      <x:c r="D14" s="40" t="n">
        <x:v>1</x:v>
      </x:c>
      <x:c r="E14" s="40" t="n">
        <x:v>1</x:v>
      </x:c>
      <x:c r="F14" s="40" t="n">
        <x:v>1</x:v>
      </x:c>
      <x:c r="G14" s="40" t="n">
        <x:v>1</x:v>
      </x:c>
      <x:c r="H14" s="40" t="n">
        <x:v>0</x:v>
      </x:c>
      <x:c r="I14" s="40" t="n">
        <x:v>1</x:v>
      </x:c>
      <x:c r="J14" s="40" t="n">
        <x:v>1</x:v>
      </x:c>
      <x:c r="K14" s="53" t="n">
        <x:v>1</x:v>
      </x:c>
    </x:row>
    <x:row r="15">
      <x:c r="A15" s="51" t="str">
        <x:v>Report 13</x:v>
      </x:c>
      <x:c r="B15" s="39" t="n">
        <x:v>1</x:v>
      </x:c>
      <x:c r="C15" s="40" t="n">
        <x:v>0</x:v>
      </x:c>
      <x:c r="D15" s="40" t="n">
        <x:v>1</x:v>
      </x:c>
      <x:c r="E15" s="40" t="n">
        <x:v>1</x:v>
      </x:c>
      <x:c r="F15" s="40" t="n">
        <x:v>1</x:v>
      </x:c>
      <x:c r="G15" s="40" t="n">
        <x:v>1</x:v>
      </x:c>
      <x:c r="H15" s="40" t="n">
        <x:v>1</x:v>
      </x:c>
      <x:c r="I15" s="40" t="n">
        <x:v>1</x:v>
      </x:c>
      <x:c r="J15" s="40" t="n">
        <x:v>1</x:v>
      </x:c>
      <x:c r="K15" s="53" t="n">
        <x:v>0</x:v>
      </x:c>
    </x:row>
    <x:row r="16">
      <x:c r="A16" s="51" t="str">
        <x:v>Report 14</x:v>
      </x:c>
      <x:c r="B16" s="39" t="n">
        <x:v>1</x:v>
      </x:c>
      <x:c r="C16" s="40" t="n">
        <x:v>1</x:v>
      </x:c>
      <x:c r="D16" s="40" t="n">
        <x:v>1</x:v>
      </x:c>
      <x:c r="E16" s="40" t="n">
        <x:v>1</x:v>
      </x:c>
      <x:c r="F16" s="40" t="n">
        <x:v>1</x:v>
      </x:c>
      <x:c r="G16" s="40" t="n">
        <x:v>1</x:v>
      </x:c>
      <x:c r="H16" s="40" t="n">
        <x:v>1</x:v>
      </x:c>
      <x:c r="I16" s="40" t="n">
        <x:v>1</x:v>
      </x:c>
      <x:c r="J16" s="40" t="n">
        <x:v>1</x:v>
      </x:c>
      <x:c r="K16" s="53" t="n">
        <x:v>1</x:v>
      </x:c>
    </x:row>
    <x:row r="17">
      <x:c r="A17" s="51" t="str">
        <x:v>Report 15</x:v>
      </x:c>
      <x:c r="B17" s="39" t="n">
        <x:v>1</x:v>
      </x:c>
      <x:c r="C17" s="40" t="n">
        <x:v>1</x:v>
      </x:c>
      <x:c r="D17" s="40" t="n">
        <x:v>1</x:v>
      </x:c>
      <x:c r="E17" s="40" t="n">
        <x:v>1</x:v>
      </x:c>
      <x:c r="F17" s="40" t="n">
        <x:v>1</x:v>
      </x:c>
      <x:c r="G17" s="40" t="n">
        <x:v>1</x:v>
      </x:c>
      <x:c r="H17" s="40" t="n">
        <x:v>1</x:v>
      </x:c>
      <x:c r="I17" s="40" t="n">
        <x:v>1</x:v>
      </x:c>
      <x:c r="J17" s="40" t="n">
        <x:v>1</x:v>
      </x:c>
      <x:c r="K17" s="53" t="n">
        <x:v>0</x:v>
      </x:c>
    </x:row>
    <x:row r="18">
      <x:c r="A18" s="51" t="str">
        <x:v>Report 16</x:v>
      </x:c>
      <x:c r="B18" s="39" t="n">
        <x:v>1</x:v>
      </x:c>
      <x:c r="C18" s="40" t="n">
        <x:v>0</x:v>
      </x:c>
      <x:c r="D18" s="40" t="n">
        <x:v>1</x:v>
      </x:c>
      <x:c r="E18" s="40" t="n">
        <x:v>1</x:v>
      </x:c>
      <x:c r="F18" s="40" t="n">
        <x:v>1</x:v>
      </x:c>
      <x:c r="G18" s="40" t="n">
        <x:v>1</x:v>
      </x:c>
      <x:c r="H18" s="40" t="n">
        <x:v>1</x:v>
      </x:c>
      <x:c r="I18" s="40" t="n">
        <x:v>1</x:v>
      </x:c>
      <x:c r="J18" s="40" t="n">
        <x:v>0</x:v>
      </x:c>
      <x:c r="K18" s="53" t="n">
        <x:v>1</x:v>
      </x:c>
    </x:row>
    <x:row r="19">
      <x:c r="A19" s="51" t="str">
        <x:v>Report 17</x:v>
      </x:c>
      <x:c r="B19" s="39" t="n">
        <x:v>1</x:v>
      </x:c>
      <x:c r="C19" s="40" t="n">
        <x:v>0</x:v>
      </x:c>
      <x:c r="D19" s="40" t="n">
        <x:v>1</x:v>
      </x:c>
      <x:c r="E19" s="40" t="n">
        <x:v>0</x:v>
      </x:c>
      <x:c r="F19" s="40" t="n">
        <x:v>1</x:v>
      </x:c>
      <x:c r="G19" s="40" t="n">
        <x:v>1</x:v>
      </x:c>
      <x:c r="H19" s="40" t="n">
        <x:v>1</x:v>
      </x:c>
      <x:c r="I19" s="40" t="n">
        <x:v>1</x:v>
      </x:c>
      <x:c r="J19" s="40" t="n">
        <x:v>1</x:v>
      </x:c>
      <x:c r="K19" s="53" t="n">
        <x:v>1</x:v>
      </x:c>
    </x:row>
    <x:row r="20">
      <x:c r="A20" s="51" t="str">
        <x:v>Report 18</x:v>
      </x:c>
      <x:c r="B20" s="39" t="n">
        <x:v>1</x:v>
      </x:c>
      <x:c r="C20" s="40" t="n">
        <x:v>0</x:v>
      </x:c>
      <x:c r="D20" s="40" t="n">
        <x:v>1</x:v>
      </x:c>
      <x:c r="E20" s="40" t="n">
        <x:v>0</x:v>
      </x:c>
      <x:c r="F20" s="40" t="n">
        <x:v>1</x:v>
      </x:c>
      <x:c r="G20" s="40" t="n">
        <x:v>1</x:v>
      </x:c>
      <x:c r="H20" s="40" t="n">
        <x:v>0</x:v>
      </x:c>
      <x:c r="I20" s="40" t="n">
        <x:v>1</x:v>
      </x:c>
      <x:c r="J20" s="40" t="n">
        <x:v>0</x:v>
      </x:c>
      <x:c r="K20" s="53" t="n">
        <x:v>1</x:v>
      </x:c>
    </x:row>
    <x:row r="21">
      <x:c r="A21" s="54" t="str">
        <x:v>Report 19</x:v>
      </x:c>
      <x:c r="B21" s="55" t="n">
        <x:v>1</x:v>
      </x:c>
      <x:c r="C21" s="56" t="n">
        <x:v>0</x:v>
      </x:c>
      <x:c r="D21" s="56" t="n">
        <x:v>1</x:v>
      </x:c>
      <x:c r="E21" s="56" t="n">
        <x:v>0</x:v>
      </x:c>
      <x:c r="F21" s="56" t="n">
        <x:v>1</x:v>
      </x:c>
      <x:c r="G21" s="56" t="n">
        <x:v>1</x:v>
      </x:c>
      <x:c r="H21" s="56" t="n">
        <x:v>0</x:v>
      </x:c>
      <x:c r="I21" s="56" t="n">
        <x:v>1</x:v>
      </x:c>
      <x:c r="J21" s="56" t="n">
        <x:v>0</x:v>
      </x:c>
      <x:c r="K21" s="57" t="n">
        <x:v>1</x:v>
      </x:c>
    </x:row>
    <x:row r="23" ht="34" customHeight="1">
      <x:c r="A23" s="47" t="str">
        <x:v>Source note: Boolean values transcribed from IMG_6278.JPG. Please verify against the original workbook; all downstream analysis updates automatically when values are edited.</x:v>
      </x:c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</x:row>
  </x:sheetData>
  <x:mergeCells>
    <x:mergeCell ref="A23:K23"/>
  </x:mergeCells>
  <x:conditionalFormatting sqref="B2:K21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B2:K2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b99c04ff9d40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6" hidden="0" customWidth="1"/>
    <x:col min="3" max="3" width="18" hidden="0" customWidth="1"/>
    <x:col min="4" max="4" width="23" hidden="0" customWidth="1"/>
  </x:cols>
  <x:sheetData>
    <x:row r="1" ht="32" customHeight="1">
      <x:c r="A1" s="59" t="str">
        <x:v>Feature Coverage Analysis</x:v>
      </x:c>
      <x:c r="B1" s="59"/>
      <x:c r="C1" s="59"/>
      <x:c r="D1" s="59"/>
    </x:row>
    <x:row r="2" ht="34" customHeight="1">
      <x:c r="A2" s="62" t="str">
        <x:v>Coverage = number of reports scored 1 ÷ 20. Thresholds: Green ≥80%, Amber 50–79%, Red &lt;50%.</x:v>
      </x:c>
      <x:c r="B2" s="62"/>
      <x:c r="C2" s="62"/>
      <x:c r="D2" s="62"/>
    </x:row>
    <x:row r="4">
      <x:c r="A4" s="69" t="str">
        <x:v>Feature</x:v>
      </x:c>
      <x:c r="B4" s="70" t="str">
        <x:v>Count of 1</x:v>
      </x:c>
      <x:c r="C4" s="70" t="str">
        <x:v>Coverage</x:v>
      </x:c>
      <x:c r="D4" s="71" t="str">
        <x:v>Interpretation</x:v>
      </x:c>
    </x:row>
    <x:row r="5">
      <x:c r="A5" s="72" t="str">
        <x:v>Executive Summary</x:v>
      </x:c>
      <x:c r="B5" s="73" t="n">
        <x:f>SUM('Raw Data'!B$2:B$21)</x:f>
        <x:v>20</x:v>
      </x:c>
      <x:c r="C5" s="74" t="n">
        <x:f>AVERAGE('Raw Data'!B$2:B$21)</x:f>
        <x:v>1</x:v>
      </x:c>
      <x:c r="D5" s="75" t="str">
        <x:f>IF(C5&gt;=80%,"Consistent strength",IF(C5&gt;=50%,"Moderate coverage","Development area"))</x:f>
        <x:v>Consistent strength</x:v>
      </x:c>
    </x:row>
    <x:row r="6">
      <x:c r="A6" s="72" t="str">
        <x:v>Scenario Branch</x:v>
      </x:c>
      <x:c r="B6" s="73" t="n">
        <x:f>SUM('Raw Data'!C$2:C$21)</x:f>
        <x:v>2</x:v>
      </x:c>
      <x:c r="C6" s="74" t="n">
        <x:f>AVERAGE('Raw Data'!C$2:C$21)</x:f>
        <x:v>0.1</x:v>
      </x:c>
      <x:c r="D6" s="75" t="str">
        <x:f>IF(C6&gt;=80%,"Consistent strength",IF(C6&gt;=50%,"Moderate coverage","Development area"))</x:f>
        <x:v>Development area</x:v>
      </x:c>
    </x:row>
    <x:row r="7">
      <x:c r="A7" s="72" t="str">
        <x:v>Metadata Completeness</x:v>
      </x:c>
      <x:c r="B7" s="73" t="n">
        <x:f>SUM('Raw Data'!D$2:D$21)</x:f>
        <x:v>20</x:v>
      </x:c>
      <x:c r="C7" s="74" t="n">
        <x:f>AVERAGE('Raw Data'!D$2:D$21)</x:f>
        <x:v>1</x:v>
      </x:c>
      <x:c r="D7" s="75" t="str">
        <x:f>IF(C7&gt;=80%,"Consistent strength",IF(C7&gt;=50%,"Moderate coverage","Development area"))</x:f>
        <x:v>Consistent strength</x:v>
      </x:c>
    </x:row>
    <x:row r="8">
      <x:c r="A8" s="72" t="str">
        <x:v>Financial Grid</x:v>
      </x:c>
      <x:c r="B8" s="73" t="n">
        <x:f>SUM('Raw Data'!E$2:E$21)</x:f>
        <x:v>6</x:v>
      </x:c>
      <x:c r="C8" s="74" t="n">
        <x:f>AVERAGE('Raw Data'!E$2:E$21)</x:f>
        <x:v>0.3</x:v>
      </x:c>
      <x:c r="D8" s="75" t="str">
        <x:f>IF(C8&gt;=80%,"Consistent strength",IF(C8&gt;=50%,"Moderate coverage","Development area"))</x:f>
        <x:v>Development area</x:v>
      </x:c>
    </x:row>
    <x:row r="9">
      <x:c r="A9" s="72" t="str">
        <x:v>Chart Compliance</x:v>
      </x:c>
      <x:c r="B9" s="73" t="n">
        <x:f>SUM('Raw Data'!F$2:F$21)</x:f>
        <x:v>20</x:v>
      </x:c>
      <x:c r="C9" s="74" t="n">
        <x:f>AVERAGE('Raw Data'!F$2:F$21)</x:f>
        <x:v>1</x:v>
      </x:c>
      <x:c r="D9" s="75" t="str">
        <x:f>IF(C9&gt;=80%,"Consistent strength",IF(C9&gt;=50%,"Moderate coverage","Development area"))</x:f>
        <x:v>Consistent strength</x:v>
      </x:c>
    </x:row>
    <x:row r="10">
      <x:c r="A10" s="72" t="str">
        <x:v>Chart-Text Coherence</x:v>
      </x:c>
      <x:c r="B10" s="73" t="n">
        <x:f>SUM('Raw Data'!G$2:G$21)</x:f>
        <x:v>18</x:v>
      </x:c>
      <x:c r="C10" s="74" t="n">
        <x:f>AVERAGE('Raw Data'!G$2:G$21)</x:f>
        <x:v>0.9</x:v>
      </x:c>
      <x:c r="D10" s="75" t="str">
        <x:f>IF(C10&gt;=80%,"Consistent strength",IF(C10&gt;=50%,"Moderate coverage","Development area"))</x:f>
        <x:v>Consistent strength</x:v>
      </x:c>
    </x:row>
    <x:row r="11">
      <x:c r="A11" s="72" t="str">
        <x:v>Cross-Asset Nature</x:v>
      </x:c>
      <x:c r="B11" s="73" t="n">
        <x:f>SUM('Raw Data'!H$2:H$21)</x:f>
        <x:v>14</x:v>
      </x:c>
      <x:c r="C11" s="74" t="n">
        <x:f>AVERAGE('Raw Data'!H$2:H$21)</x:f>
        <x:v>0.7</x:v>
      </x:c>
      <x:c r="D11" s="75" t="str">
        <x:f>IF(C11&gt;=80%,"Consistent strength",IF(C11&gt;=50%,"Moderate coverage","Development area"))</x:f>
        <x:v>Moderate coverage</x:v>
      </x:c>
    </x:row>
    <x:row r="12">
      <x:c r="A12" s="72" t="str">
        <x:v>Macro-Micro Link</x:v>
      </x:c>
      <x:c r="B12" s="73" t="n">
        <x:f>SUM('Raw Data'!I$2:I$21)</x:f>
        <x:v>20</x:v>
      </x:c>
      <x:c r="C12" s="74" t="n">
        <x:f>AVERAGE('Raw Data'!I$2:I$21)</x:f>
        <x:v>1</x:v>
      </x:c>
      <x:c r="D12" s="75" t="str">
        <x:f>IF(C12&gt;=80%,"Consistent strength",IF(C12&gt;=50%,"Moderate coverage","Development area"))</x:f>
        <x:v>Consistent strength</x:v>
      </x:c>
    </x:row>
    <x:row r="13">
      <x:c r="A13" s="72" t="str">
        <x:v>Multi-Risk Coverage</x:v>
      </x:c>
      <x:c r="B13" s="73" t="n">
        <x:f>SUM('Raw Data'!J$2:J$21)</x:f>
        <x:v>7</x:v>
      </x:c>
      <x:c r="C13" s="74" t="n">
        <x:f>AVERAGE('Raw Data'!J$2:J$21)</x:f>
        <x:v>0.35</x:v>
      </x:c>
      <x:c r="D13" s="75" t="str">
        <x:f>IF(C13&gt;=80%,"Consistent strength",IF(C13&gt;=50%,"Moderate coverage","Development area"))</x:f>
        <x:v>Development area</x:v>
      </x:c>
    </x:row>
    <x:row r="14">
      <x:c r="A14" s="76" t="str">
        <x:v>Proprietary Alpha</x:v>
      </x:c>
      <x:c r="B14" s="77" t="n">
        <x:f>SUM('Raw Data'!K$2:K$21)</x:f>
        <x:v>13</x:v>
      </x:c>
      <x:c r="C14" s="78" t="n">
        <x:f>AVERAGE('Raw Data'!K$2:K$21)</x:f>
        <x:v>0.65</x:v>
      </x:c>
      <x:c r="D14" s="79" t="str">
        <x:f>IF(C14&gt;=80%,"Consistent strength",IF(C14&gt;=50%,"Moderate coverage","Development area"))</x:f>
        <x:v>Moderate coverage</x:v>
      </x:c>
    </x:row>
    <x:row r="16">
      <x:c r="A16" s="80" t="str">
        <x:v>Category</x:v>
      </x:c>
      <x:c r="B16" s="81" t="str">
        <x:v>Features</x:v>
      </x:c>
      <x:c r="C16" s="81" t="str">
        <x:v>Average Coverage</x:v>
      </x:c>
      <x:c r="D16" s="82" t="str">
        <x:v>Comment</x:v>
      </x:c>
    </x:row>
    <x:row r="17">
      <x:c r="A17" s="72" t="str">
        <x:v>Structure</x:v>
      </x:c>
      <x:c r="B17" s="83" t="str">
        <x:v>Executive Summary; Scenario Branch; Metadata</x:v>
      </x:c>
      <x:c r="C17" s="74" t="n">
        <x:f>AVERAGE(C5:C7)</x:f>
        <x:v>0.7000000000000001</x:v>
      </x:c>
      <x:c r="D17" s="75" t="str">
        <x:f>IF(C17&gt;=80%,"Strong",IF(C17&gt;=50%,"Mixed","Priority gap"))</x:f>
        <x:v>Mixed</x:v>
      </x:c>
    </x:row>
    <x:row r="18">
      <x:c r="A18" s="72" t="str">
        <x:v>Layout</x:v>
      </x:c>
      <x:c r="B18" s="83" t="str">
        <x:v>Financial Grid</x:v>
      </x:c>
      <x:c r="C18" s="74" t="n">
        <x:f>C8</x:f>
        <x:v>0.3</x:v>
      </x:c>
      <x:c r="D18" s="75" t="str">
        <x:f>IF(C18&gt;=80%,"Strong",IF(C18&gt;=50%,"Mixed","Priority gap"))</x:f>
        <x:v>Priority gap</x:v>
      </x:c>
    </x:row>
    <x:row r="19">
      <x:c r="A19" s="72" t="str">
        <x:v>Chart &amp; Visual</x:v>
      </x:c>
      <x:c r="B19" s="83" t="str">
        <x:v>Chart Compliance; Chart-Text Coherence</x:v>
      </x:c>
      <x:c r="C19" s="74" t="n">
        <x:f>AVERAGE(C9:C10)</x:f>
        <x:v>0.95</x:v>
      </x:c>
      <x:c r="D19" s="75" t="str">
        <x:f>IF(C19&gt;=80%,"Strong",IF(C19&gt;=50%,"Mixed","Priority gap"))</x:f>
        <x:v>Strong</x:v>
      </x:c>
    </x:row>
    <x:row r="20">
      <x:c r="A20" s="72" t="str">
        <x:v>Analytical Depth</x:v>
      </x:c>
      <x:c r="B20" s="83" t="str">
        <x:v>Cross-Asset; Macro-Micro; Multi-Risk</x:v>
      </x:c>
      <x:c r="C20" s="74" t="n">
        <x:f>AVERAGE(C11:C13)</x:f>
        <x:v>0.6833333333333332</x:v>
      </x:c>
      <x:c r="D20" s="75" t="str">
        <x:f>IF(C20&gt;=80%,"Strong",IF(C20&gt;=50%,"Mixed","Priority gap"))</x:f>
        <x:v>Mixed</x:v>
      </x:c>
    </x:row>
    <x:row r="21">
      <x:c r="A21" s="76" t="str">
        <x:v>Outcome flag</x:v>
      </x:c>
      <x:c r="B21" s="84" t="str">
        <x:v>Proprietary Alpha</x:v>
      </x:c>
      <x:c r="C21" s="78" t="n">
        <x:f>C14</x:f>
        <x:v>0.65</x:v>
      </x:c>
      <x:c r="D21" s="79" t="str">
        <x:f>IF(C21&gt;=80%,"Strong",IF(C21&gt;=50%,"Mixed","Priority gap"))</x:f>
        <x:v>Mixed</x:v>
      </x:c>
    </x:row>
  </x:sheetData>
  <x:mergeCells>
    <x:mergeCell ref="A1:D1"/>
    <x:mergeCell ref="A2:D2"/>
  </x:mergeCells>
  <x:conditionalFormatting sqref="C5:C14">
    <x:cfRule type="cellIs" dxfId="2" priority="1" operator="greaterThanOrEqual">
      <x:formula>0.8</x:formula>
    </x:cfRule>
    <x:cfRule type="cellIs" dxfId="3" priority="2" operator="between">
      <x:formula>0.5</x:formula>
      <x:formula>0.799999</x:formula>
    </x:cfRule>
    <x:cfRule type="cellIs" dxfId="4" priority="3" operator="lessThan">
      <x:formula>0.5</x:formula>
    </x:cfRule>
  </x:conditionalFormatting>
  <x:conditionalFormatting sqref="C17:C21">
    <x:cfRule type="cellIs" dxfId="5" priority="4" operator="greaterThanOrEqual">
      <x:formula>0.8</x:formula>
    </x:cfRule>
    <x:cfRule type="cellIs" dxfId="6" priority="5" operator="between">
      <x:formula>0.5</x:formula>
      <x:formula>0.799999</x:formula>
    </x:cfRule>
    <x:cfRule type="cellIs" dxfId="7" priority="6" operator="lessThan">
      <x:formula>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9" hidden="0" customWidth="1"/>
  </x:cols>
  <x:sheetData>
    <x:row r="1" ht="42" customHeight="1">
      <x:c r="A1" s="89" t="str">
        <x:v>Report</x:v>
      </x:c>
      <x:c r="B1" s="90" t="str">
        <x:v>Structure</x:v>
      </x:c>
      <x:c r="C1" s="90" t="str">
        <x:v>Layout</x:v>
      </x:c>
      <x:c r="D1" s="90" t="str">
        <x:v>Chart &amp; Visual</x:v>
      </x:c>
      <x:c r="E1" s="90" t="str">
        <x:v>Analytical Depth</x:v>
      </x:c>
      <x:c r="F1" s="90" t="str">
        <x:v>Executive Summary</x:v>
      </x:c>
      <x:c r="G1" s="90" t="str">
        <x:v>Scenario Branch</x:v>
      </x:c>
      <x:c r="H1" s="90" t="str">
        <x:v>Metadata</x:v>
      </x:c>
      <x:c r="I1" s="90" t="str">
        <x:v>Financial Grid</x:v>
      </x:c>
      <x:c r="J1" s="90" t="str">
        <x:v>Chart Compliance</x:v>
      </x:c>
      <x:c r="K1" s="90" t="str">
        <x:v>Chart-Text Coherence</x:v>
      </x:c>
      <x:c r="L1" s="90" t="str">
        <x:v>Overall Capability Score</x:v>
      </x:c>
      <x:c r="M1" s="91" t="str">
        <x:v>Rank</x:v>
      </x:c>
    </x:row>
    <x:row r="2">
      <x:c r="A2" s="92" t="str">
        <x:f>'Raw Data'!A2</x:f>
        <x:v>Report 00</x:v>
      </x:c>
      <x:c r="B2" s="93" t="n">
        <x:f>AVERAGE('Raw Data'!B2:D2)</x:f>
        <x:v>0.6666666666666666</x:v>
      </x:c>
      <x:c r="C2" s="93" t="n">
        <x:f>'Raw Data'!E2</x:f>
        <x:v>0</x:v>
      </x:c>
      <x:c r="D2" s="93" t="n">
        <x:f>AVERAGE('Raw Data'!F2:G2)</x:f>
        <x:v>1</x:v>
      </x:c>
      <x:c r="E2" s="93" t="n">
        <x:f>AVERAGE('Raw Data'!H2:J2)</x:f>
        <x:v>0.6666666666666666</x:v>
      </x:c>
      <x:c r="F2" s="31" t="n">
        <x:f>'Raw Data'!B2</x:f>
        <x:v>1</x:v>
      </x:c>
      <x:c r="G2" s="31" t="n">
        <x:f>'Raw Data'!C2</x:f>
        <x:v>0</x:v>
      </x:c>
      <x:c r="H2" s="31" t="n">
        <x:f>'Raw Data'!D2</x:f>
        <x:v>1</x:v>
      </x:c>
      <x:c r="I2" s="31" t="n">
        <x:f>'Raw Data'!E2</x:f>
        <x:v>0</x:v>
      </x:c>
      <x:c r="J2" s="31" t="n">
        <x:f>'Raw Data'!F2</x:f>
        <x:v>1</x:v>
      </x:c>
      <x:c r="K2" s="31" t="n">
        <x:f>'Raw Data'!G2</x:f>
        <x:v>1</x:v>
      </x:c>
      <x:c r="L2" s="93" t="n">
        <x:f>AVERAGE('Raw Data'!B2:J2)</x:f>
        <x:v>0.6666666666666666</x:v>
      </x:c>
      <x:c r="M2" s="32" t="n">
        <x:f>RANK.EQ(L2,$L$2:$L$21,0)+COUNTIF($L$2:L2,L2)-1</x:f>
        <x:v>9</x:v>
      </x:c>
    </x:row>
    <x:row r="3">
      <x:c r="A3" s="92" t="str">
        <x:f>'Raw Data'!A3</x:f>
        <x:v>Report 01</x:v>
      </x:c>
      <x:c r="B3" s="93" t="n">
        <x:f>AVERAGE('Raw Data'!B3:D3)</x:f>
        <x:v>0.6666666666666666</x:v>
      </x:c>
      <x:c r="C3" s="93" t="n">
        <x:f>'Raw Data'!E3</x:f>
        <x:v>0</x:v>
      </x:c>
      <x:c r="D3" s="93" t="n">
        <x:f>AVERAGE('Raw Data'!F3:G3)</x:f>
        <x:v>1</x:v>
      </x:c>
      <x:c r="E3" s="93" t="n">
        <x:f>AVERAGE('Raw Data'!H3:J3)</x:f>
        <x:v>0.3333333333333333</x:v>
      </x:c>
      <x:c r="F3" s="31" t="n">
        <x:f>'Raw Data'!B3</x:f>
        <x:v>1</x:v>
      </x:c>
      <x:c r="G3" s="31" t="n">
        <x:f>'Raw Data'!C3</x:f>
        <x:v>0</x:v>
      </x:c>
      <x:c r="H3" s="31" t="n">
        <x:f>'Raw Data'!D3</x:f>
        <x:v>1</x:v>
      </x:c>
      <x:c r="I3" s="31" t="n">
        <x:f>'Raw Data'!E3</x:f>
        <x:v>0</x:v>
      </x:c>
      <x:c r="J3" s="31" t="n">
        <x:f>'Raw Data'!F3</x:f>
        <x:v>1</x:v>
      </x:c>
      <x:c r="K3" s="31" t="n">
        <x:f>'Raw Data'!G3</x:f>
        <x:v>1</x:v>
      </x:c>
      <x:c r="L3" s="93" t="n">
        <x:f>AVERAGE('Raw Data'!B3:J3)</x:f>
        <x:v>0.5555555555555556</x:v>
      </x:c>
      <x:c r="M3" s="32" t="n">
        <x:f>RANK.EQ(L3,$L$2:$L$21,0)+COUNTIF($L$2:L3,L3)-1</x:f>
        <x:v>15</x:v>
      </x:c>
    </x:row>
    <x:row r="4">
      <x:c r="A4" s="92" t="str">
        <x:f>'Raw Data'!A4</x:f>
        <x:v>Report 02</x:v>
      </x:c>
      <x:c r="B4" s="93" t="n">
        <x:f>AVERAGE('Raw Data'!B4:D4)</x:f>
        <x:v>0.6666666666666666</x:v>
      </x:c>
      <x:c r="C4" s="93" t="n">
        <x:f>'Raw Data'!E4</x:f>
        <x:v>0</x:v>
      </x:c>
      <x:c r="D4" s="93" t="n">
        <x:f>AVERAGE('Raw Data'!F4:G4)</x:f>
        <x:v>1</x:v>
      </x:c>
      <x:c r="E4" s="93" t="n">
        <x:f>AVERAGE('Raw Data'!H4:J4)</x:f>
        <x:v>0.3333333333333333</x:v>
      </x:c>
      <x:c r="F4" s="31" t="n">
        <x:f>'Raw Data'!B4</x:f>
        <x:v>1</x:v>
      </x:c>
      <x:c r="G4" s="31" t="n">
        <x:f>'Raw Data'!C4</x:f>
        <x:v>0</x:v>
      </x:c>
      <x:c r="H4" s="31" t="n">
        <x:f>'Raw Data'!D4</x:f>
        <x:v>1</x:v>
      </x:c>
      <x:c r="I4" s="31" t="n">
        <x:f>'Raw Data'!E4</x:f>
        <x:v>0</x:v>
      </x:c>
      <x:c r="J4" s="31" t="n">
        <x:f>'Raw Data'!F4</x:f>
        <x:v>1</x:v>
      </x:c>
      <x:c r="K4" s="31" t="n">
        <x:f>'Raw Data'!G4</x:f>
        <x:v>1</x:v>
      </x:c>
      <x:c r="L4" s="93" t="n">
        <x:f>AVERAGE('Raw Data'!B4:J4)</x:f>
        <x:v>0.5555555555555556</x:v>
      </x:c>
      <x:c r="M4" s="32" t="n">
        <x:f>RANK.EQ(L4,$L$2:$L$21,0)+COUNTIF($L$2:L4,L4)-1</x:f>
        <x:v>16</x:v>
      </x:c>
    </x:row>
    <x:row r="5">
      <x:c r="A5" s="92" t="str">
        <x:f>'Raw Data'!A5</x:f>
        <x:v>Report 03</x:v>
      </x:c>
      <x:c r="B5" s="93" t="n">
        <x:f>AVERAGE('Raw Data'!B5:D5)</x:f>
        <x:v>0.6666666666666666</x:v>
      </x:c>
      <x:c r="C5" s="93" t="n">
        <x:f>'Raw Data'!E5</x:f>
        <x:v>0</x:v>
      </x:c>
      <x:c r="D5" s="93" t="n">
        <x:f>AVERAGE('Raw Data'!F5:G5)</x:f>
        <x:v>1</x:v>
      </x:c>
      <x:c r="E5" s="93" t="n">
        <x:f>AVERAGE('Raw Data'!H5:J5)</x:f>
        <x:v>1</x:v>
      </x:c>
      <x:c r="F5" s="31" t="n">
        <x:f>'Raw Data'!B5</x:f>
        <x:v>1</x:v>
      </x:c>
      <x:c r="G5" s="31" t="n">
        <x:f>'Raw Data'!C5</x:f>
        <x:v>0</x:v>
      </x:c>
      <x:c r="H5" s="31" t="n">
        <x:f>'Raw Data'!D5</x:f>
        <x:v>1</x:v>
      </x:c>
      <x:c r="I5" s="31" t="n">
        <x:f>'Raw Data'!E5</x:f>
        <x:v>0</x:v>
      </x:c>
      <x:c r="J5" s="31" t="n">
        <x:f>'Raw Data'!F5</x:f>
        <x:v>1</x:v>
      </x:c>
      <x:c r="K5" s="31" t="n">
        <x:f>'Raw Data'!G5</x:f>
        <x:v>1</x:v>
      </x:c>
      <x:c r="L5" s="93" t="n">
        <x:f>AVERAGE('Raw Data'!B5:J5)</x:f>
        <x:v>0.7777777777777778</x:v>
      </x:c>
      <x:c r="M5" s="32" t="n">
        <x:f>RANK.EQ(L5,$L$2:$L$21,0)+COUNTIF($L$2:L5,L5)-1</x:f>
        <x:v>4</x:v>
      </x:c>
    </x:row>
    <x:row r="6">
      <x:c r="A6" s="92" t="str">
        <x:f>'Raw Data'!A6</x:f>
        <x:v>Report 04</x:v>
      </x:c>
      <x:c r="B6" s="93" t="n">
        <x:f>AVERAGE('Raw Data'!B6:D6)</x:f>
        <x:v>0.6666666666666666</x:v>
      </x:c>
      <x:c r="C6" s="93" t="n">
        <x:f>'Raw Data'!E6</x:f>
        <x:v>0</x:v>
      </x:c>
      <x:c r="D6" s="93" t="n">
        <x:f>AVERAGE('Raw Data'!F6:G6)</x:f>
        <x:v>0.5</x:v>
      </x:c>
      <x:c r="E6" s="93" t="n">
        <x:f>AVERAGE('Raw Data'!H6:J6)</x:f>
        <x:v>0.6666666666666666</x:v>
      </x:c>
      <x:c r="F6" s="31" t="n">
        <x:f>'Raw Data'!B6</x:f>
        <x:v>1</x:v>
      </x:c>
      <x:c r="G6" s="31" t="n">
        <x:f>'Raw Data'!C6</x:f>
        <x:v>0</x:v>
      </x:c>
      <x:c r="H6" s="31" t="n">
        <x:f>'Raw Data'!D6</x:f>
        <x:v>1</x:v>
      </x:c>
      <x:c r="I6" s="31" t="n">
        <x:f>'Raw Data'!E6</x:f>
        <x:v>0</x:v>
      </x:c>
      <x:c r="J6" s="31" t="n">
        <x:f>'Raw Data'!F6</x:f>
        <x:v>1</x:v>
      </x:c>
      <x:c r="K6" s="31" t="n">
        <x:f>'Raw Data'!G6</x:f>
        <x:v>0</x:v>
      </x:c>
      <x:c r="L6" s="93" t="n">
        <x:f>AVERAGE('Raw Data'!B6:J6)</x:f>
        <x:v>0.5555555555555556</x:v>
      </x:c>
      <x:c r="M6" s="32" t="n">
        <x:f>RANK.EQ(L6,$L$2:$L$21,0)+COUNTIF($L$2:L6,L6)-1</x:f>
        <x:v>17</x:v>
      </x:c>
    </x:row>
    <x:row r="7">
      <x:c r="A7" s="92" t="str">
        <x:f>'Raw Data'!A7</x:f>
        <x:v>Report 05</x:v>
      </x:c>
      <x:c r="B7" s="93" t="n">
        <x:f>AVERAGE('Raw Data'!B7:D7)</x:f>
        <x:v>0.6666666666666666</x:v>
      </x:c>
      <x:c r="C7" s="93" t="n">
        <x:f>'Raw Data'!E7</x:f>
        <x:v>0</x:v>
      </x:c>
      <x:c r="D7" s="93" t="n">
        <x:f>AVERAGE('Raw Data'!F7:G7)</x:f>
        <x:v>1</x:v>
      </x:c>
      <x:c r="E7" s="93" t="n">
        <x:f>AVERAGE('Raw Data'!H7:J7)</x:f>
        <x:v>0.6666666666666666</x:v>
      </x:c>
      <x:c r="F7" s="31" t="n">
        <x:f>'Raw Data'!B7</x:f>
        <x:v>1</x:v>
      </x:c>
      <x:c r="G7" s="31" t="n">
        <x:f>'Raw Data'!C7</x:f>
        <x:v>0</x:v>
      </x:c>
      <x:c r="H7" s="31" t="n">
        <x:f>'Raw Data'!D7</x:f>
        <x:v>1</x:v>
      </x:c>
      <x:c r="I7" s="31" t="n">
        <x:f>'Raw Data'!E7</x:f>
        <x:v>0</x:v>
      </x:c>
      <x:c r="J7" s="31" t="n">
        <x:f>'Raw Data'!F7</x:f>
        <x:v>1</x:v>
      </x:c>
      <x:c r="K7" s="31" t="n">
        <x:f>'Raw Data'!G7</x:f>
        <x:v>1</x:v>
      </x:c>
      <x:c r="L7" s="93" t="n">
        <x:f>AVERAGE('Raw Data'!B7:J7)</x:f>
        <x:v>0.6666666666666666</x:v>
      </x:c>
      <x:c r="M7" s="32" t="n">
        <x:f>RANK.EQ(L7,$L$2:$L$21,0)+COUNTIF($L$2:L7,L7)-1</x:f>
        <x:v>10</x:v>
      </x:c>
    </x:row>
    <x:row r="8">
      <x:c r="A8" s="92" t="str">
        <x:f>'Raw Data'!A8</x:f>
        <x:v>Report 06</x:v>
      </x:c>
      <x:c r="B8" s="93" t="n">
        <x:f>AVERAGE('Raw Data'!B8:D8)</x:f>
        <x:v>0.6666666666666666</x:v>
      </x:c>
      <x:c r="C8" s="93" t="n">
        <x:f>'Raw Data'!E8</x:f>
        <x:v>0</x:v>
      </x:c>
      <x:c r="D8" s="93" t="n">
        <x:f>AVERAGE('Raw Data'!F8:G8)</x:f>
        <x:v>1</x:v>
      </x:c>
      <x:c r="E8" s="93" t="n">
        <x:f>AVERAGE('Raw Data'!H8:J8)</x:f>
        <x:v>0.3333333333333333</x:v>
      </x:c>
      <x:c r="F8" s="31" t="n">
        <x:f>'Raw Data'!B8</x:f>
        <x:v>1</x:v>
      </x:c>
      <x:c r="G8" s="31" t="n">
        <x:f>'Raw Data'!C8</x:f>
        <x:v>0</x:v>
      </x:c>
      <x:c r="H8" s="31" t="n">
        <x:f>'Raw Data'!D8</x:f>
        <x:v>1</x:v>
      </x:c>
      <x:c r="I8" s="31" t="n">
        <x:f>'Raw Data'!E8</x:f>
        <x:v>0</x:v>
      </x:c>
      <x:c r="J8" s="31" t="n">
        <x:f>'Raw Data'!F8</x:f>
        <x:v>1</x:v>
      </x:c>
      <x:c r="K8" s="31" t="n">
        <x:f>'Raw Data'!G8</x:f>
        <x:v>1</x:v>
      </x:c>
      <x:c r="L8" s="93" t="n">
        <x:f>AVERAGE('Raw Data'!B8:J8)</x:f>
        <x:v>0.5555555555555556</x:v>
      </x:c>
      <x:c r="M8" s="32" t="n">
        <x:f>RANK.EQ(L8,$L$2:$L$21,0)+COUNTIF($L$2:L8,L8)-1</x:f>
        <x:v>18</x:v>
      </x:c>
    </x:row>
    <x:row r="9">
      <x:c r="A9" s="92" t="str">
        <x:f>'Raw Data'!A9</x:f>
        <x:v>Report 07</x:v>
      </x:c>
      <x:c r="B9" s="93" t="n">
        <x:f>AVERAGE('Raw Data'!B9:D9)</x:f>
        <x:v>0.6666666666666666</x:v>
      </x:c>
      <x:c r="C9" s="93" t="n">
        <x:f>'Raw Data'!E9</x:f>
        <x:v>0</x:v>
      </x:c>
      <x:c r="D9" s="93" t="n">
        <x:f>AVERAGE('Raw Data'!F9:G9)</x:f>
        <x:v>1</x:v>
      </x:c>
      <x:c r="E9" s="93" t="n">
        <x:f>AVERAGE('Raw Data'!H9:J9)</x:f>
        <x:v>1</x:v>
      </x:c>
      <x:c r="F9" s="31" t="n">
        <x:f>'Raw Data'!B9</x:f>
        <x:v>1</x:v>
      </x:c>
      <x:c r="G9" s="31" t="n">
        <x:f>'Raw Data'!C9</x:f>
        <x:v>0</x:v>
      </x:c>
      <x:c r="H9" s="31" t="n">
        <x:f>'Raw Data'!D9</x:f>
        <x:v>1</x:v>
      </x:c>
      <x:c r="I9" s="31" t="n">
        <x:f>'Raw Data'!E9</x:f>
        <x:v>0</x:v>
      </x:c>
      <x:c r="J9" s="31" t="n">
        <x:f>'Raw Data'!F9</x:f>
        <x:v>1</x:v>
      </x:c>
      <x:c r="K9" s="31" t="n">
        <x:f>'Raw Data'!G9</x:f>
        <x:v>1</x:v>
      </x:c>
      <x:c r="L9" s="93" t="n">
        <x:f>AVERAGE('Raw Data'!B9:J9)</x:f>
        <x:v>0.7777777777777778</x:v>
      </x:c>
      <x:c r="M9" s="32" t="n">
        <x:f>RANK.EQ(L9,$L$2:$L$21,0)+COUNTIF($L$2:L9,L9)-1</x:f>
        <x:v>5</x:v>
      </x:c>
    </x:row>
    <x:row r="10">
      <x:c r="A10" s="92" t="str">
        <x:f>'Raw Data'!A10</x:f>
        <x:v>Report 08</x:v>
      </x:c>
      <x:c r="B10" s="93" t="n">
        <x:f>AVERAGE('Raw Data'!B10:D10)</x:f>
        <x:v>0.6666666666666666</x:v>
      </x:c>
      <x:c r="C10" s="93" t="n">
        <x:f>'Raw Data'!E10</x:f>
        <x:v>0</x:v>
      </x:c>
      <x:c r="D10" s="93" t="n">
        <x:f>AVERAGE('Raw Data'!F10:G10)</x:f>
        <x:v>1</x:v>
      </x:c>
      <x:c r="E10" s="93" t="n">
        <x:f>AVERAGE('Raw Data'!H10:J10)</x:f>
        <x:v>0.6666666666666666</x:v>
      </x:c>
      <x:c r="F10" s="31" t="n">
        <x:f>'Raw Data'!B10</x:f>
        <x:v>1</x:v>
      </x:c>
      <x:c r="G10" s="31" t="n">
        <x:f>'Raw Data'!C10</x:f>
        <x:v>0</x:v>
      </x:c>
      <x:c r="H10" s="31" t="n">
        <x:f>'Raw Data'!D10</x:f>
        <x:v>1</x:v>
      </x:c>
      <x:c r="I10" s="31" t="n">
        <x:f>'Raw Data'!E10</x:f>
        <x:v>0</x:v>
      </x:c>
      <x:c r="J10" s="31" t="n">
        <x:f>'Raw Data'!F10</x:f>
        <x:v>1</x:v>
      </x:c>
      <x:c r="K10" s="31" t="n">
        <x:f>'Raw Data'!G10</x:f>
        <x:v>1</x:v>
      </x:c>
      <x:c r="L10" s="93" t="n">
        <x:f>AVERAGE('Raw Data'!B10:J10)</x:f>
        <x:v>0.6666666666666666</x:v>
      </x:c>
      <x:c r="M10" s="32" t="n">
        <x:f>RANK.EQ(L10,$L$2:$L$21,0)+COUNTIF($L$2:L10,L10)-1</x:f>
        <x:v>11</x:v>
      </x:c>
    </x:row>
    <x:row r="11">
      <x:c r="A11" s="92" t="str">
        <x:f>'Raw Data'!A11</x:f>
        <x:v>Report 09</x:v>
      </x:c>
      <x:c r="B11" s="93" t="n">
        <x:f>AVERAGE('Raw Data'!B11:D11)</x:f>
        <x:v>0.6666666666666666</x:v>
      </x:c>
      <x:c r="C11" s="93" t="n">
        <x:f>'Raw Data'!E11</x:f>
        <x:v>0</x:v>
      </x:c>
      <x:c r="D11" s="93" t="n">
        <x:f>AVERAGE('Raw Data'!F11:G11)</x:f>
        <x:v>1</x:v>
      </x:c>
      <x:c r="E11" s="93" t="n">
        <x:f>AVERAGE('Raw Data'!H11:J11)</x:f>
        <x:v>0.6666666666666666</x:v>
      </x:c>
      <x:c r="F11" s="31" t="n">
        <x:f>'Raw Data'!B11</x:f>
        <x:v>1</x:v>
      </x:c>
      <x:c r="G11" s="31" t="n">
        <x:f>'Raw Data'!C11</x:f>
        <x:v>0</x:v>
      </x:c>
      <x:c r="H11" s="31" t="n">
        <x:f>'Raw Data'!D11</x:f>
        <x:v>1</x:v>
      </x:c>
      <x:c r="I11" s="31" t="n">
        <x:f>'Raw Data'!E11</x:f>
        <x:v>0</x:v>
      </x:c>
      <x:c r="J11" s="31" t="n">
        <x:f>'Raw Data'!F11</x:f>
        <x:v>1</x:v>
      </x:c>
      <x:c r="K11" s="31" t="n">
        <x:f>'Raw Data'!G11</x:f>
        <x:v>1</x:v>
      </x:c>
      <x:c r="L11" s="93" t="n">
        <x:f>AVERAGE('Raw Data'!B11:J11)</x:f>
        <x:v>0.6666666666666666</x:v>
      </x:c>
      <x:c r="M11" s="32" t="n">
        <x:f>RANK.EQ(L11,$L$2:$L$21,0)+COUNTIF($L$2:L11,L11)-1</x:f>
        <x:v>12</x:v>
      </x:c>
    </x:row>
    <x:row r="12">
      <x:c r="A12" s="92" t="str">
        <x:f>'Raw Data'!A12</x:f>
        <x:v>Report 10</x:v>
      </x:c>
      <x:c r="B12" s="93" t="n">
        <x:f>AVERAGE('Raw Data'!B12:D12)</x:f>
        <x:v>0.6666666666666666</x:v>
      </x:c>
      <x:c r="C12" s="93" t="n">
        <x:f>'Raw Data'!E12</x:f>
        <x:v>0</x:v>
      </x:c>
      <x:c r="D12" s="93" t="n">
        <x:f>AVERAGE('Raw Data'!F12:G12)</x:f>
        <x:v>1</x:v>
      </x:c>
      <x:c r="E12" s="93" t="n">
        <x:f>AVERAGE('Raw Data'!H12:J12)</x:f>
        <x:v>0.6666666666666666</x:v>
      </x:c>
      <x:c r="F12" s="31" t="n">
        <x:f>'Raw Data'!B12</x:f>
        <x:v>1</x:v>
      </x:c>
      <x:c r="G12" s="31" t="n">
        <x:f>'Raw Data'!C12</x:f>
        <x:v>0</x:v>
      </x:c>
      <x:c r="H12" s="31" t="n">
        <x:f>'Raw Data'!D12</x:f>
        <x:v>1</x:v>
      </x:c>
      <x:c r="I12" s="31" t="n">
        <x:f>'Raw Data'!E12</x:f>
        <x:v>0</x:v>
      </x:c>
      <x:c r="J12" s="31" t="n">
        <x:f>'Raw Data'!F12</x:f>
        <x:v>1</x:v>
      </x:c>
      <x:c r="K12" s="31" t="n">
        <x:f>'Raw Data'!G12</x:f>
        <x:v>1</x:v>
      </x:c>
      <x:c r="L12" s="93" t="n">
        <x:f>AVERAGE('Raw Data'!B12:J12)</x:f>
        <x:v>0.6666666666666666</x:v>
      </x:c>
      <x:c r="M12" s="32" t="n">
        <x:f>RANK.EQ(L12,$L$2:$L$21,0)+COUNTIF($L$2:L12,L12)-1</x:f>
        <x:v>13</x:v>
      </x:c>
    </x:row>
    <x:row r="13">
      <x:c r="A13" s="92" t="str">
        <x:f>'Raw Data'!A13</x:f>
        <x:v>Report 11</x:v>
      </x:c>
      <x:c r="B13" s="93" t="n">
        <x:f>AVERAGE('Raw Data'!B13:D13)</x:f>
        <x:v>0.6666666666666666</x:v>
      </x:c>
      <x:c r="C13" s="93" t="n">
        <x:f>'Raw Data'!E13</x:f>
        <x:v>1</x:v>
      </x:c>
      <x:c r="D13" s="93" t="n">
        <x:f>AVERAGE('Raw Data'!F13:G13)</x:f>
        <x:v>0.5</x:v>
      </x:c>
      <x:c r="E13" s="93" t="n">
        <x:f>AVERAGE('Raw Data'!H13:J13)</x:f>
        <x:v>0.6666666666666666</x:v>
      </x:c>
      <x:c r="F13" s="31" t="n">
        <x:f>'Raw Data'!B13</x:f>
        <x:v>1</x:v>
      </x:c>
      <x:c r="G13" s="31" t="n">
        <x:f>'Raw Data'!C13</x:f>
        <x:v>0</x:v>
      </x:c>
      <x:c r="H13" s="31" t="n">
        <x:f>'Raw Data'!D13</x:f>
        <x:v>1</x:v>
      </x:c>
      <x:c r="I13" s="31" t="n">
        <x:f>'Raw Data'!E13</x:f>
        <x:v>1</x:v>
      </x:c>
      <x:c r="J13" s="31" t="n">
        <x:f>'Raw Data'!F13</x:f>
        <x:v>1</x:v>
      </x:c>
      <x:c r="K13" s="31" t="n">
        <x:f>'Raw Data'!G13</x:f>
        <x:v>0</x:v>
      </x:c>
      <x:c r="L13" s="93" t="n">
        <x:f>AVERAGE('Raw Data'!B13:J13)</x:f>
        <x:v>0.6666666666666666</x:v>
      </x:c>
      <x:c r="M13" s="32" t="n">
        <x:f>RANK.EQ(L13,$L$2:$L$21,0)+COUNTIF($L$2:L13,L13)-1</x:f>
        <x:v>14</x:v>
      </x:c>
    </x:row>
    <x:row r="14">
      <x:c r="A14" s="92" t="str">
        <x:f>'Raw Data'!A14</x:f>
        <x:v>Report 12</x:v>
      </x:c>
      <x:c r="B14" s="93" t="n">
        <x:f>AVERAGE('Raw Data'!B14:D14)</x:f>
        <x:v>0.6666666666666666</x:v>
      </x:c>
      <x:c r="C14" s="93" t="n">
        <x:f>'Raw Data'!E14</x:f>
        <x:v>1</x:v>
      </x:c>
      <x:c r="D14" s="93" t="n">
        <x:f>AVERAGE('Raw Data'!F14:G14)</x:f>
        <x:v>1</x:v>
      </x:c>
      <x:c r="E14" s="93" t="n">
        <x:f>AVERAGE('Raw Data'!H14:J14)</x:f>
        <x:v>0.6666666666666666</x:v>
      </x:c>
      <x:c r="F14" s="31" t="n">
        <x:f>'Raw Data'!B14</x:f>
        <x:v>1</x:v>
      </x:c>
      <x:c r="G14" s="31" t="n">
        <x:f>'Raw Data'!C14</x:f>
        <x:v>0</x:v>
      </x:c>
      <x:c r="H14" s="31" t="n">
        <x:f>'Raw Data'!D14</x:f>
        <x:v>1</x:v>
      </x:c>
      <x:c r="I14" s="31" t="n">
        <x:f>'Raw Data'!E14</x:f>
        <x:v>1</x:v>
      </x:c>
      <x:c r="J14" s="31" t="n">
        <x:f>'Raw Data'!F14</x:f>
        <x:v>1</x:v>
      </x:c>
      <x:c r="K14" s="31" t="n">
        <x:f>'Raw Data'!G14</x:f>
        <x:v>1</x:v>
      </x:c>
      <x:c r="L14" s="93" t="n">
        <x:f>AVERAGE('Raw Data'!B14:J14)</x:f>
        <x:v>0.7777777777777778</x:v>
      </x:c>
      <x:c r="M14" s="32" t="n">
        <x:f>RANK.EQ(L14,$L$2:$L$21,0)+COUNTIF($L$2:L14,L14)-1</x:f>
        <x:v>6</x:v>
      </x:c>
    </x:row>
    <x:row r="15">
      <x:c r="A15" s="92" t="str">
        <x:f>'Raw Data'!A15</x:f>
        <x:v>Report 13</x:v>
      </x:c>
      <x:c r="B15" s="93" t="n">
        <x:f>AVERAGE('Raw Data'!B15:D15)</x:f>
        <x:v>0.6666666666666666</x:v>
      </x:c>
      <x:c r="C15" s="93" t="n">
        <x:f>'Raw Data'!E15</x:f>
        <x:v>1</x:v>
      </x:c>
      <x:c r="D15" s="93" t="n">
        <x:f>AVERAGE('Raw Data'!F15:G15)</x:f>
        <x:v>1</x:v>
      </x:c>
      <x:c r="E15" s="93" t="n">
        <x:f>AVERAGE('Raw Data'!H15:J15)</x:f>
        <x:v>1</x:v>
      </x:c>
      <x:c r="F15" s="31" t="n">
        <x:f>'Raw Data'!B15</x:f>
        <x:v>1</x:v>
      </x:c>
      <x:c r="G15" s="31" t="n">
        <x:f>'Raw Data'!C15</x:f>
        <x:v>0</x:v>
      </x:c>
      <x:c r="H15" s="31" t="n">
        <x:f>'Raw Data'!D15</x:f>
        <x:v>1</x:v>
      </x:c>
      <x:c r="I15" s="31" t="n">
        <x:f>'Raw Data'!E15</x:f>
        <x:v>1</x:v>
      </x:c>
      <x:c r="J15" s="31" t="n">
        <x:f>'Raw Data'!F15</x:f>
        <x:v>1</x:v>
      </x:c>
      <x:c r="K15" s="31" t="n">
        <x:f>'Raw Data'!G15</x:f>
        <x:v>1</x:v>
      </x:c>
      <x:c r="L15" s="93" t="n">
        <x:f>AVERAGE('Raw Data'!B15:J15)</x:f>
        <x:v>0.8888888888888888</x:v>
      </x:c>
      <x:c r="M15" s="32" t="n">
        <x:f>RANK.EQ(L15,$L$2:$L$21,0)+COUNTIF($L$2:L15,L15)-1</x:f>
        <x:v>3</x:v>
      </x:c>
    </x:row>
    <x:row r="16">
      <x:c r="A16" s="92" t="str">
        <x:f>'Raw Data'!A16</x:f>
        <x:v>Report 14</x:v>
      </x:c>
      <x:c r="B16" s="93" t="n">
        <x:f>AVERAGE('Raw Data'!B16:D16)</x:f>
        <x:v>1</x:v>
      </x:c>
      <x:c r="C16" s="93" t="n">
        <x:f>'Raw Data'!E16</x:f>
        <x:v>1</x:v>
      </x:c>
      <x:c r="D16" s="93" t="n">
        <x:f>AVERAGE('Raw Data'!F16:G16)</x:f>
        <x:v>1</x:v>
      </x:c>
      <x:c r="E16" s="93" t="n">
        <x:f>AVERAGE('Raw Data'!H16:J16)</x:f>
        <x:v>1</x:v>
      </x:c>
      <x:c r="F16" s="31" t="n">
        <x:f>'Raw Data'!B16</x:f>
        <x:v>1</x:v>
      </x:c>
      <x:c r="G16" s="31" t="n">
        <x:f>'Raw Data'!C16</x:f>
        <x:v>1</x:v>
      </x:c>
      <x:c r="H16" s="31" t="n">
        <x:f>'Raw Data'!D16</x:f>
        <x:v>1</x:v>
      </x:c>
      <x:c r="I16" s="31" t="n">
        <x:f>'Raw Data'!E16</x:f>
        <x:v>1</x:v>
      </x:c>
      <x:c r="J16" s="31" t="n">
        <x:f>'Raw Data'!F16</x:f>
        <x:v>1</x:v>
      </x:c>
      <x:c r="K16" s="31" t="n">
        <x:f>'Raw Data'!G16</x:f>
        <x:v>1</x:v>
      </x:c>
      <x:c r="L16" s="93" t="n">
        <x:f>AVERAGE('Raw Data'!B16:J16)</x:f>
        <x:v>1</x:v>
      </x:c>
      <x:c r="M16" s="32" t="n">
        <x:f>RANK.EQ(L16,$L$2:$L$21,0)+COUNTIF($L$2:L16,L16)-1</x:f>
        <x:v>1</x:v>
      </x:c>
    </x:row>
    <x:row r="17">
      <x:c r="A17" s="92" t="str">
        <x:f>'Raw Data'!A17</x:f>
        <x:v>Report 15</x:v>
      </x:c>
      <x:c r="B17" s="93" t="n">
        <x:f>AVERAGE('Raw Data'!B17:D17)</x:f>
        <x:v>1</x:v>
      </x:c>
      <x:c r="C17" s="93" t="n">
        <x:f>'Raw Data'!E17</x:f>
        <x:v>1</x:v>
      </x:c>
      <x:c r="D17" s="93" t="n">
        <x:f>AVERAGE('Raw Data'!F17:G17)</x:f>
        <x:v>1</x:v>
      </x:c>
      <x:c r="E17" s="93" t="n">
        <x:f>AVERAGE('Raw Data'!H17:J17)</x:f>
        <x:v>1</x:v>
      </x:c>
      <x:c r="F17" s="31" t="n">
        <x:f>'Raw Data'!B17</x:f>
        <x:v>1</x:v>
      </x:c>
      <x:c r="G17" s="31" t="n">
        <x:f>'Raw Data'!C17</x:f>
        <x:v>1</x:v>
      </x:c>
      <x:c r="H17" s="31" t="n">
        <x:f>'Raw Data'!D17</x:f>
        <x:v>1</x:v>
      </x:c>
      <x:c r="I17" s="31" t="n">
        <x:f>'Raw Data'!E17</x:f>
        <x:v>1</x:v>
      </x:c>
      <x:c r="J17" s="31" t="n">
        <x:f>'Raw Data'!F17</x:f>
        <x:v>1</x:v>
      </x:c>
      <x:c r="K17" s="31" t="n">
        <x:f>'Raw Data'!G17</x:f>
        <x:v>1</x:v>
      </x:c>
      <x:c r="L17" s="93" t="n">
        <x:f>AVERAGE('Raw Data'!B17:J17)</x:f>
        <x:v>1</x:v>
      </x:c>
      <x:c r="M17" s="32" t="n">
        <x:f>RANK.EQ(L17,$L$2:$L$21,0)+COUNTIF($L$2:L17,L17)-1</x:f>
        <x:v>2</x:v>
      </x:c>
    </x:row>
    <x:row r="18">
      <x:c r="A18" s="92" t="str">
        <x:f>'Raw Data'!A18</x:f>
        <x:v>Report 16</x:v>
      </x:c>
      <x:c r="B18" s="93" t="n">
        <x:f>AVERAGE('Raw Data'!B18:D18)</x:f>
        <x:v>0.6666666666666666</x:v>
      </x:c>
      <x:c r="C18" s="93" t="n">
        <x:f>'Raw Data'!E18</x:f>
        <x:v>1</x:v>
      </x:c>
      <x:c r="D18" s="93" t="n">
        <x:f>AVERAGE('Raw Data'!F18:G18)</x:f>
        <x:v>1</x:v>
      </x:c>
      <x:c r="E18" s="93" t="n">
        <x:f>AVERAGE('Raw Data'!H18:J18)</x:f>
        <x:v>0.6666666666666666</x:v>
      </x:c>
      <x:c r="F18" s="31" t="n">
        <x:f>'Raw Data'!B18</x:f>
        <x:v>1</x:v>
      </x:c>
      <x:c r="G18" s="31" t="n">
        <x:f>'Raw Data'!C18</x:f>
        <x:v>0</x:v>
      </x:c>
      <x:c r="H18" s="31" t="n">
        <x:f>'Raw Data'!D18</x:f>
        <x:v>1</x:v>
      </x:c>
      <x:c r="I18" s="31" t="n">
        <x:f>'Raw Data'!E18</x:f>
        <x:v>1</x:v>
      </x:c>
      <x:c r="J18" s="31" t="n">
        <x:f>'Raw Data'!F18</x:f>
        <x:v>1</x:v>
      </x:c>
      <x:c r="K18" s="31" t="n">
        <x:f>'Raw Data'!G18</x:f>
        <x:v>1</x:v>
      </x:c>
      <x:c r="L18" s="93" t="n">
        <x:f>AVERAGE('Raw Data'!B18:J18)</x:f>
        <x:v>0.7777777777777778</x:v>
      </x:c>
      <x:c r="M18" s="32" t="n">
        <x:f>RANK.EQ(L18,$L$2:$L$21,0)+COUNTIF($L$2:L18,L18)-1</x:f>
        <x:v>7</x:v>
      </x:c>
    </x:row>
    <x:row r="19">
      <x:c r="A19" s="92" t="str">
        <x:f>'Raw Data'!A19</x:f>
        <x:v>Report 17</x:v>
      </x:c>
      <x:c r="B19" s="93" t="n">
        <x:f>AVERAGE('Raw Data'!B19:D19)</x:f>
        <x:v>0.6666666666666666</x:v>
      </x:c>
      <x:c r="C19" s="93" t="n">
        <x:f>'Raw Data'!E19</x:f>
        <x:v>0</x:v>
      </x:c>
      <x:c r="D19" s="93" t="n">
        <x:f>AVERAGE('Raw Data'!F19:G19)</x:f>
        <x:v>1</x:v>
      </x:c>
      <x:c r="E19" s="93" t="n">
        <x:f>AVERAGE('Raw Data'!H19:J19)</x:f>
        <x:v>1</x:v>
      </x:c>
      <x:c r="F19" s="31" t="n">
        <x:f>'Raw Data'!B19</x:f>
        <x:v>1</x:v>
      </x:c>
      <x:c r="G19" s="31" t="n">
        <x:f>'Raw Data'!C19</x:f>
        <x:v>0</x:v>
      </x:c>
      <x:c r="H19" s="31" t="n">
        <x:f>'Raw Data'!D19</x:f>
        <x:v>1</x:v>
      </x:c>
      <x:c r="I19" s="31" t="n">
        <x:f>'Raw Data'!E19</x:f>
        <x:v>0</x:v>
      </x:c>
      <x:c r="J19" s="31" t="n">
        <x:f>'Raw Data'!F19</x:f>
        <x:v>1</x:v>
      </x:c>
      <x:c r="K19" s="31" t="n">
        <x:f>'Raw Data'!G19</x:f>
        <x:v>1</x:v>
      </x:c>
      <x:c r="L19" s="93" t="n">
        <x:f>AVERAGE('Raw Data'!B19:J19)</x:f>
        <x:v>0.7777777777777778</x:v>
      </x:c>
      <x:c r="M19" s="32" t="n">
        <x:f>RANK.EQ(L19,$L$2:$L$21,0)+COUNTIF($L$2:L19,L19)-1</x:f>
        <x:v>8</x:v>
      </x:c>
    </x:row>
    <x:row r="20">
      <x:c r="A20" s="92" t="str">
        <x:f>'Raw Data'!A20</x:f>
        <x:v>Report 18</x:v>
      </x:c>
      <x:c r="B20" s="93" t="n">
        <x:f>AVERAGE('Raw Data'!B20:D20)</x:f>
        <x:v>0.6666666666666666</x:v>
      </x:c>
      <x:c r="C20" s="93" t="n">
        <x:f>'Raw Data'!E20</x:f>
        <x:v>0</x:v>
      </x:c>
      <x:c r="D20" s="93" t="n">
        <x:f>AVERAGE('Raw Data'!F20:G20)</x:f>
        <x:v>1</x:v>
      </x:c>
      <x:c r="E20" s="93" t="n">
        <x:f>AVERAGE('Raw Data'!H20:J20)</x:f>
        <x:v>0.3333333333333333</x:v>
      </x:c>
      <x:c r="F20" s="31" t="n">
        <x:f>'Raw Data'!B20</x:f>
        <x:v>1</x:v>
      </x:c>
      <x:c r="G20" s="31" t="n">
        <x:f>'Raw Data'!C20</x:f>
        <x:v>0</x:v>
      </x:c>
      <x:c r="H20" s="31" t="n">
        <x:f>'Raw Data'!D20</x:f>
        <x:v>1</x:v>
      </x:c>
      <x:c r="I20" s="31" t="n">
        <x:f>'Raw Data'!E20</x:f>
        <x:v>0</x:v>
      </x:c>
      <x:c r="J20" s="31" t="n">
        <x:f>'Raw Data'!F20</x:f>
        <x:v>1</x:v>
      </x:c>
      <x:c r="K20" s="31" t="n">
        <x:f>'Raw Data'!G20</x:f>
        <x:v>1</x:v>
      </x:c>
      <x:c r="L20" s="93" t="n">
        <x:f>AVERAGE('Raw Data'!B20:J20)</x:f>
        <x:v>0.5555555555555556</x:v>
      </x:c>
      <x:c r="M20" s="32" t="n">
        <x:f>RANK.EQ(L20,$L$2:$L$21,0)+COUNTIF($L$2:L20,L20)-1</x:f>
        <x:v>19</x:v>
      </x:c>
    </x:row>
    <x:row r="21">
      <x:c r="A21" s="94" t="str">
        <x:f>'Raw Data'!A21</x:f>
        <x:v>Report 19</x:v>
      </x:c>
      <x:c r="B21" s="95" t="n">
        <x:f>AVERAGE('Raw Data'!B21:D21)</x:f>
        <x:v>0.6666666666666666</x:v>
      </x:c>
      <x:c r="C21" s="95" t="n">
        <x:f>'Raw Data'!E21</x:f>
        <x:v>0</x:v>
      </x:c>
      <x:c r="D21" s="95" t="n">
        <x:f>AVERAGE('Raw Data'!F21:G21)</x:f>
        <x:v>1</x:v>
      </x:c>
      <x:c r="E21" s="95" t="n">
        <x:f>AVERAGE('Raw Data'!H21:J21)</x:f>
        <x:v>0.3333333333333333</x:v>
      </x:c>
      <x:c r="F21" s="34" t="n">
        <x:f>'Raw Data'!B21</x:f>
        <x:v>1</x:v>
      </x:c>
      <x:c r="G21" s="34" t="n">
        <x:f>'Raw Data'!C21</x:f>
        <x:v>0</x:v>
      </x:c>
      <x:c r="H21" s="34" t="n">
        <x:f>'Raw Data'!D21</x:f>
        <x:v>1</x:v>
      </x:c>
      <x:c r="I21" s="34" t="n">
        <x:f>'Raw Data'!E21</x:f>
        <x:v>0</x:v>
      </x:c>
      <x:c r="J21" s="34" t="n">
        <x:f>'Raw Data'!F21</x:f>
        <x:v>1</x:v>
      </x:c>
      <x:c r="K21" s="34" t="n">
        <x:f>'Raw Data'!G21</x:f>
        <x:v>1</x:v>
      </x:c>
      <x:c r="L21" s="95" t="n">
        <x:f>AVERAGE('Raw Data'!B21:J21)</x:f>
        <x:v>0.5555555555555556</x:v>
      </x:c>
      <x:c r="M21" s="35" t="n">
        <x:f>RANK.EQ(L21,$L$2:$L$21,0)+COUNTIF($L$2:L21,L21)-1</x:f>
        <x:v>20</x:v>
      </x:c>
    </x:row>
    <x:row r="23">
      <x:c r="A23" s="64" t="str">
        <x:v>Definition</x:v>
      </x:c>
      <x:c r="B23" s="64" t="str">
        <x:v>Structure</x:v>
      </x:c>
      <x:c r="C23" s="64" t="str">
        <x:v>Layout</x:v>
      </x:c>
      <x:c r="D23" s="64" t="str">
        <x:v>Chart &amp; Visual</x:v>
      </x:c>
      <x:c r="E23" s="64" t="str">
        <x:v>Analytical Depth</x:v>
      </x:c>
    </x:row>
    <x:row r="24" ht="38" customHeight="1">
      <x:c r="A24" s="88" t="str">
        <x:v>Included features</x:v>
      </x:c>
      <x:c r="B24" s="88" t="str">
        <x:v>Exec Summary, Scenario Branch, Metadata</x:v>
      </x:c>
      <x:c r="C24" s="88" t="str">
        <x:v>Financial Grid</x:v>
      </x:c>
      <x:c r="D24" s="88" t="str">
        <x:v>Chart Compliance, Chart-Text Coherence</x:v>
      </x:c>
      <x:c r="E24" s="88" t="str">
        <x:v>Cross-Asset, Macro-Micro, Multi-Risk</x:v>
      </x:c>
    </x:row>
  </x:sheetData>
  <x:conditionalFormatting sqref="B2:E21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L2:L21">
    <x:cfRule type="dataBar" priority="2">
      <x:dataBar>
        <x:cfvo type="num" val="0"/>
        <x:cfvo type="num" val="1"/>
        <x:color rgb="FF2F75B5"/>
      </x:dataBar>
      <x:extLst>
        <x:ext xmlns:x14="http://schemas.microsoft.com/office/spreadsheetml/2009/9/main" uri="{B025F937-C7B1-47D3-B67F-A62EFF666E3E}">
          <x14:id>{EA2F07EB-1528-CE65-8307-C4444E5D3D6B}</x14:id>
        </x:ext>
      </x:extLst>
    </x:cfRule>
  </x:conditionalFormatting>
  <x:conditionalFormatting sqref="F2:K21">
    <x:cfRule type="cellIs" dxfId="8" priority="3" operator="equal">
      <x:formula>1</x:formula>
    </x:cfRule>
    <x:cfRule type="cellIs" dxfId="9" priority="4" operator="equal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A2F07EB-1528-CE65-8307-C4444E5D3D6B}">
            <x14:dataBar gradient="1">
              <x14:cfvo type="num">
                <xm:f>0</xm:f>
              </x14:cfvo>
              <x14:cfvo type="num">
                <xm:f>1</xm:f>
              </x14:cfvo>
              <x14:fillColor rgb="FF2F75B5"/>
            </x14:dataBar>
          </x14:cfRule>
          <xm:sqref>L2:L21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98" t="str">
        <x:v>20-Report Capability Scorecard &amp; Coverage Dashboard</x:v>
      </x:c>
      <x:c r="B1" s="268"/>
      <x:c r="C1" s="268"/>
      <x:c r="D1" s="268"/>
      <x:c r="E1" s="268"/>
      <x:c r="F1" s="268"/>
      <x:c r="G1" s="268"/>
      <x:c r="H1" s="268"/>
      <x:c r="I1" s="268"/>
      <x:c r="J1" s="268"/>
      <x:c r="K1" s="268"/>
      <x:c r="L1" s="98"/>
      <x:c r="M1" s="98"/>
      <x:c r="N1" s="98"/>
    </x:row>
    <x:row r="2">
      <x:c r="A2" s="98"/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>
      <x:c r="A3" s="100" t="str">
        <x:v>Exploratory diagnostic based on Boolean feature coverage | Scores exclude Proprietary Alpha from the capability total</x:v>
      </x:c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</x:row>
    <x:row r="4">
      <x:c r="A4" s="139" t="str">
        <x:v>Average report score</x:v>
      </x:c>
      <x:c r="B4" s="139"/>
      <x:c r="C4" s="139"/>
      <x:c r="E4" s="139" t="str">
        <x:v>Highest report score</x:v>
      </x:c>
      <x:c r="F4" s="139"/>
      <x:c r="G4" s="139"/>
      <x:c r="I4" s="139" t="str">
        <x:v>Lowest report score</x:v>
      </x:c>
      <x:c r="J4" s="139"/>
      <x:c r="K4" s="139"/>
      <x:c r="M4" s="139" t="str">
        <x:v>Alpha coverage</x:v>
      </x:c>
      <x:c r="N4" s="139"/>
    </x:row>
    <x:row r="5">
      <x:c r="A5" s="128" t="n">
        <x:f>AVERAGE('Scorecard'!$L$2:$L$21)</x:f>
        <x:v>0.7055555555555557</x:v>
      </x:c>
      <x:c r="B5" s="129"/>
      <x:c r="C5" s="130"/>
      <x:c r="E5" s="168" t="n">
        <x:f>MAX('Scorecard'!$L$2:$L$21)</x:f>
        <x:v>1</x:v>
      </x:c>
      <x:c r="F5" s="169"/>
      <x:c r="G5" s="170"/>
      <x:c r="I5" s="205" t="n">
        <x:f>MIN('Scorecard'!$L$2:$L$21)</x:f>
        <x:v>0.5555555555555556</x:v>
      </x:c>
      <x:c r="J5" s="206"/>
      <x:c r="K5" s="207"/>
      <x:c r="M5" s="234" t="n">
        <x:f>'Coverage Analysis'!C14</x:f>
        <x:v>0.65</x:v>
      </x:c>
      <x:c r="N5" s="235"/>
    </x:row>
    <x:row r="6">
      <x:c r="A6" s="131"/>
      <x:c r="B6" s="132"/>
      <x:c r="C6" s="133"/>
      <x:c r="E6" s="171"/>
      <x:c r="F6" s="172"/>
      <x:c r="G6" s="173"/>
      <x:c r="I6" s="208"/>
      <x:c r="J6" s="209"/>
      <x:c r="K6" s="210"/>
      <x:c r="M6" s="236"/>
      <x:c r="N6" s="237"/>
    </x:row>
    <x:row r="7">
      <x:c r="A7" s="134"/>
      <x:c r="B7" s="135"/>
      <x:c r="C7" s="136"/>
      <x:c r="E7" s="174"/>
      <x:c r="F7" s="175"/>
      <x:c r="G7" s="176"/>
      <x:c r="I7" s="211"/>
      <x:c r="J7" s="212"/>
      <x:c r="K7" s="213"/>
      <x:c r="M7" s="238"/>
      <x:c r="N7" s="239"/>
    </x:row>
    <x:row r="10">
      <x:c r="A10" s="65" t="str">
        <x:v>Feature</x:v>
      </x:c>
      <x:c r="B10" s="65" t="str">
        <x:v>Coverage</x:v>
      </x:c>
      <x:c r="C10" s="65" t="str">
        <x:v>Status</x:v>
      </x:c>
    </x:row>
    <x:row r="11">
      <x:c r="A11" t="str">
        <x:f>'Coverage Analysis'!A5</x:f>
        <x:v>Executive Summary</x:v>
      </x:c>
      <x:c r="B11" s="68" t="n">
        <x:f>'Coverage Analysis'!C5</x:f>
        <x:v>1</x:v>
      </x:c>
      <x:c r="C11" t="str">
        <x:f>'Coverage Analysis'!D5</x:f>
        <x:v>Consistent strength</x:v>
      </x:c>
    </x:row>
    <x:row r="12">
      <x:c r="A12" t="str">
        <x:f>'Coverage Analysis'!A6</x:f>
        <x:v>Scenario Branch</x:v>
      </x:c>
      <x:c r="B12" s="68" t="n">
        <x:f>'Coverage Analysis'!C6</x:f>
        <x:v>0.1</x:v>
      </x:c>
      <x:c r="C12" t="str">
        <x:f>'Coverage Analysis'!D6</x:f>
        <x:v>Development area</x:v>
      </x:c>
    </x:row>
    <x:row r="13">
      <x:c r="A13" t="str">
        <x:f>'Coverage Analysis'!A7</x:f>
        <x:v>Metadata Completeness</x:v>
      </x:c>
      <x:c r="B13" s="68" t="n">
        <x:f>'Coverage Analysis'!C7</x:f>
        <x:v>1</x:v>
      </x:c>
      <x:c r="C13" t="str">
        <x:f>'Coverage Analysis'!D7</x:f>
        <x:v>Consistent strength</x:v>
      </x:c>
    </x:row>
    <x:row r="14">
      <x:c r="A14" t="str">
        <x:f>'Coverage Analysis'!A8</x:f>
        <x:v>Financial Grid</x:v>
      </x:c>
      <x:c r="B14" s="68" t="n">
        <x:f>'Coverage Analysis'!C8</x:f>
        <x:v>0.3</x:v>
      </x:c>
      <x:c r="C14" t="str">
        <x:f>'Coverage Analysis'!D8</x:f>
        <x:v>Development area</x:v>
      </x:c>
    </x:row>
    <x:row r="15">
      <x:c r="A15" t="str">
        <x:f>'Coverage Analysis'!A9</x:f>
        <x:v>Chart Compliance</x:v>
      </x:c>
      <x:c r="B15" s="68" t="n">
        <x:f>'Coverage Analysis'!C9</x:f>
        <x:v>1</x:v>
      </x:c>
      <x:c r="C15" t="str">
        <x:f>'Coverage Analysis'!D9</x:f>
        <x:v>Consistent strength</x:v>
      </x:c>
    </x:row>
    <x:row r="16">
      <x:c r="A16" t="str">
        <x:f>'Coverage Analysis'!A10</x:f>
        <x:v>Chart-Text Coherence</x:v>
      </x:c>
      <x:c r="B16" s="68" t="n">
        <x:f>'Coverage Analysis'!C10</x:f>
        <x:v>0.9</x:v>
      </x:c>
      <x:c r="C16" t="str">
        <x:f>'Coverage Analysis'!D10</x:f>
        <x:v>Consistent strength</x:v>
      </x:c>
    </x:row>
    <x:row r="17">
      <x:c r="A17" t="str">
        <x:f>'Coverage Analysis'!A11</x:f>
        <x:v>Cross-Asset Nature</x:v>
      </x:c>
      <x:c r="B17" s="68" t="n">
        <x:f>'Coverage Analysis'!C11</x:f>
        <x:v>0.7</x:v>
      </x:c>
      <x:c r="C17" t="str">
        <x:f>'Coverage Analysis'!D11</x:f>
        <x:v>Moderate coverage</x:v>
      </x:c>
    </x:row>
    <x:row r="18">
      <x:c r="A18" t="str">
        <x:f>'Coverage Analysis'!A12</x:f>
        <x:v>Macro-Micro Link</x:v>
      </x:c>
      <x:c r="B18" s="68" t="n">
        <x:f>'Coverage Analysis'!C12</x:f>
        <x:v>1</x:v>
      </x:c>
      <x:c r="C18" t="str">
        <x:f>'Coverage Analysis'!D12</x:f>
        <x:v>Consistent strength</x:v>
      </x:c>
    </x:row>
    <x:row r="19">
      <x:c r="A19" t="str">
        <x:f>'Coverage Analysis'!A13</x:f>
        <x:v>Multi-Risk Coverage</x:v>
      </x:c>
      <x:c r="B19" s="68" t="n">
        <x:f>'Coverage Analysis'!C13</x:f>
        <x:v>0.35</x:v>
      </x:c>
      <x:c r="C19" t="str">
        <x:f>'Coverage Analysis'!D13</x:f>
        <x:v>Development area</x:v>
      </x:c>
    </x:row>
    <x:row r="20">
      <x:c r="A20" t="str">
        <x:f>'Coverage Analysis'!A14</x:f>
        <x:v>Proprietary Alpha</x:v>
      </x:c>
      <x:c r="B20" s="68" t="n">
        <x:f>'Coverage Analysis'!C14</x:f>
        <x:v>0.65</x:v>
      </x:c>
      <x:c r="C20" t="str">
        <x:f>'Coverage Analysis'!D14</x:f>
        <x:v>Moderate coverage</x:v>
      </x:c>
    </x:row>
    <x:row r="24">
      <x:c r="A24" s="66" t="str">
        <x:v>Rank</x:v>
      </x:c>
      <x:c r="B24" s="66" t="str">
        <x:v>Report</x:v>
      </x:c>
      <x:c r="C24" s="66" t="str">
        <x:v>Capability Score</x:v>
      </x:c>
    </x:row>
    <x:row r="25">
      <x:c r="A25" t="n">
        <x:v>1</x:v>
      </x:c>
      <x:c r="B25" t="str">
        <x:f>INDEX('Scorecard'!$A$2:$A$21,MATCH(A25,'Scorecard'!$M$2:$M$21,0))</x:f>
        <x:v>Report 14</x:v>
      </x:c>
      <x:c r="C25" s="68" t="n">
        <x:f>INDEX('Scorecard'!$L$2:$L$21,MATCH(A25,'Scorecard'!$M$2:$M$21,0))</x:f>
        <x:v>1</x:v>
      </x:c>
    </x:row>
    <x:row r="26">
      <x:c r="A26" t="n">
        <x:v>2</x:v>
      </x:c>
      <x:c r="B26" t="str">
        <x:f>INDEX('Scorecard'!$A$2:$A$21,MATCH(A26,'Scorecard'!$M$2:$M$21,0))</x:f>
        <x:v>Report 15</x:v>
      </x:c>
      <x:c r="C26" s="68" t="n">
        <x:f>INDEX('Scorecard'!$L$2:$L$21,MATCH(A26,'Scorecard'!$M$2:$M$21,0))</x:f>
        <x:v>1</x:v>
      </x:c>
    </x:row>
    <x:row r="27">
      <x:c r="A27" t="n">
        <x:v>3</x:v>
      </x:c>
      <x:c r="B27" t="str">
        <x:f>INDEX('Scorecard'!$A$2:$A$21,MATCH(A27,'Scorecard'!$M$2:$M$21,0))</x:f>
        <x:v>Report 13</x:v>
      </x:c>
      <x:c r="C27" s="68" t="n">
        <x:f>INDEX('Scorecard'!$L$2:$L$21,MATCH(A27,'Scorecard'!$M$2:$M$21,0))</x:f>
        <x:v>0.8888888888888888</x:v>
      </x:c>
    </x:row>
    <x:row r="28">
      <x:c r="A28" t="n">
        <x:v>4</x:v>
      </x:c>
      <x:c r="B28" t="str">
        <x:f>INDEX('Scorecard'!$A$2:$A$21,MATCH(A28,'Scorecard'!$M$2:$M$21,0))</x:f>
        <x:v>Report 03</x:v>
      </x:c>
      <x:c r="C28" s="68" t="n">
        <x:f>INDEX('Scorecard'!$L$2:$L$21,MATCH(A28,'Scorecard'!$M$2:$M$21,0))</x:f>
        <x:v>0.7777777777777778</x:v>
      </x:c>
    </x:row>
    <x:row r="29">
      <x:c r="A29" t="n">
        <x:v>5</x:v>
      </x:c>
      <x:c r="B29" t="str">
        <x:f>INDEX('Scorecard'!$A$2:$A$21,MATCH(A29,'Scorecard'!$M$2:$M$21,0))</x:f>
        <x:v>Report 07</x:v>
      </x:c>
      <x:c r="C29" s="68" t="n">
        <x:f>INDEX('Scorecard'!$L$2:$L$21,MATCH(A29,'Scorecard'!$M$2:$M$21,0))</x:f>
        <x:v>0.7777777777777778</x:v>
      </x:c>
    </x:row>
    <x:row r="30">
      <x:c r="A30" t="n">
        <x:v>6</x:v>
      </x:c>
      <x:c r="B30" t="str">
        <x:f>INDEX('Scorecard'!$A$2:$A$21,MATCH(A30,'Scorecard'!$M$2:$M$21,0))</x:f>
        <x:v>Report 12</x:v>
      </x:c>
      <x:c r="C30" s="68" t="n">
        <x:f>INDEX('Scorecard'!$L$2:$L$21,MATCH(A30,'Scorecard'!$M$2:$M$21,0))</x:f>
        <x:v>0.7777777777777778</x:v>
      </x:c>
    </x:row>
    <x:row r="31">
      <x:c r="A31" t="n">
        <x:v>7</x:v>
      </x:c>
      <x:c r="B31" t="str">
        <x:f>INDEX('Scorecard'!$A$2:$A$21,MATCH(A31,'Scorecard'!$M$2:$M$21,0))</x:f>
        <x:v>Report 16</x:v>
      </x:c>
      <x:c r="C31" s="68" t="n">
        <x:f>INDEX('Scorecard'!$L$2:$L$21,MATCH(A31,'Scorecard'!$M$2:$M$21,0))</x:f>
        <x:v>0.7777777777777778</x:v>
      </x:c>
    </x:row>
    <x:row r="32">
      <x:c r="A32" t="n">
        <x:v>8</x:v>
      </x:c>
      <x:c r="B32" t="str">
        <x:f>INDEX('Scorecard'!$A$2:$A$21,MATCH(A32,'Scorecard'!$M$2:$M$21,0))</x:f>
        <x:v>Report 17</x:v>
      </x:c>
      <x:c r="C32" s="68" t="n">
        <x:f>INDEX('Scorecard'!$L$2:$L$21,MATCH(A32,'Scorecard'!$M$2:$M$21,0))</x:f>
        <x:v>0.7777777777777778</x:v>
      </x:c>
    </x:row>
    <x:row r="33">
      <x:c r="A33" t="n">
        <x:v>9</x:v>
      </x:c>
      <x:c r="B33" t="str">
        <x:f>INDEX('Scorecard'!$A$2:$A$21,MATCH(A33,'Scorecard'!$M$2:$M$21,0))</x:f>
        <x:v>Report 00</x:v>
      </x:c>
      <x:c r="C33" s="68" t="n">
        <x:f>INDEX('Scorecard'!$L$2:$L$21,MATCH(A33,'Scorecard'!$M$2:$M$21,0))</x:f>
        <x:v>0.6666666666666666</x:v>
      </x:c>
    </x:row>
    <x:row r="34">
      <x:c r="A34" t="n">
        <x:v>10</x:v>
      </x:c>
      <x:c r="B34" t="str">
        <x:f>INDEX('Scorecard'!$A$2:$A$21,MATCH(A34,'Scorecard'!$M$2:$M$21,0))</x:f>
        <x:v>Report 05</x:v>
      </x:c>
      <x:c r="C34" s="68" t="n">
        <x:f>INDEX('Scorecard'!$L$2:$L$21,MATCH(A34,'Scorecard'!$M$2:$M$21,0))</x:f>
        <x:v>0.6666666666666666</x:v>
      </x:c>
    </x:row>
    <x:row r="35">
      <x:c r="A35" t="n">
        <x:v>11</x:v>
      </x:c>
      <x:c r="B35" t="str">
        <x:f>INDEX('Scorecard'!$A$2:$A$21,MATCH(A35,'Scorecard'!$M$2:$M$21,0))</x:f>
        <x:v>Report 08</x:v>
      </x:c>
      <x:c r="C35" s="68" t="n">
        <x:f>INDEX('Scorecard'!$L$2:$L$21,MATCH(A35,'Scorecard'!$M$2:$M$21,0))</x:f>
        <x:v>0.6666666666666666</x:v>
      </x:c>
    </x:row>
    <x:row r="36">
      <x:c r="A36" t="n">
        <x:v>12</x:v>
      </x:c>
      <x:c r="B36" t="str">
        <x:f>INDEX('Scorecard'!$A$2:$A$21,MATCH(A36,'Scorecard'!$M$2:$M$21,0))</x:f>
        <x:v>Report 09</x:v>
      </x:c>
      <x:c r="C36" s="68" t="n">
        <x:f>INDEX('Scorecard'!$L$2:$L$21,MATCH(A36,'Scorecard'!$M$2:$M$21,0))</x:f>
        <x:v>0.6666666666666666</x:v>
      </x:c>
    </x:row>
    <x:row r="37">
      <x:c r="A37" t="n">
        <x:v>13</x:v>
      </x:c>
      <x:c r="B37" t="str">
        <x:f>INDEX('Scorecard'!$A$2:$A$21,MATCH(A37,'Scorecard'!$M$2:$M$21,0))</x:f>
        <x:v>Report 10</x:v>
      </x:c>
      <x:c r="C37" s="68" t="n">
        <x:f>INDEX('Scorecard'!$L$2:$L$21,MATCH(A37,'Scorecard'!$M$2:$M$21,0))</x:f>
        <x:v>0.6666666666666666</x:v>
      </x:c>
    </x:row>
    <x:row r="38">
      <x:c r="A38" t="n">
        <x:v>14</x:v>
      </x:c>
      <x:c r="B38" t="str">
        <x:f>INDEX('Scorecard'!$A$2:$A$21,MATCH(A38,'Scorecard'!$M$2:$M$21,0))</x:f>
        <x:v>Report 11</x:v>
      </x:c>
      <x:c r="C38" s="68" t="n">
        <x:f>INDEX('Scorecard'!$L$2:$L$21,MATCH(A38,'Scorecard'!$M$2:$M$21,0))</x:f>
        <x:v>0.6666666666666666</x:v>
      </x:c>
    </x:row>
    <x:row r="39">
      <x:c r="A39" t="n">
        <x:v>15</x:v>
      </x:c>
      <x:c r="B39" t="str">
        <x:f>INDEX('Scorecard'!$A$2:$A$21,MATCH(A39,'Scorecard'!$M$2:$M$21,0))</x:f>
        <x:v>Report 01</x:v>
      </x:c>
      <x:c r="C39" s="68" t="n">
        <x:f>INDEX('Scorecard'!$L$2:$L$21,MATCH(A39,'Scorecard'!$M$2:$M$21,0))</x:f>
        <x:v>0.5555555555555556</x:v>
      </x:c>
    </x:row>
    <x:row r="40">
      <x:c r="A40" t="n">
        <x:v>16</x:v>
      </x:c>
      <x:c r="B40" t="str">
        <x:f>INDEX('Scorecard'!$A$2:$A$21,MATCH(A40,'Scorecard'!$M$2:$M$21,0))</x:f>
        <x:v>Report 02</x:v>
      </x:c>
      <x:c r="C40" s="68" t="n">
        <x:f>INDEX('Scorecard'!$L$2:$L$21,MATCH(A40,'Scorecard'!$M$2:$M$21,0))</x:f>
        <x:v>0.5555555555555556</x:v>
      </x:c>
    </x:row>
    <x:row r="41">
      <x:c r="A41" t="n">
        <x:v>17</x:v>
      </x:c>
      <x:c r="B41" t="str">
        <x:f>INDEX('Scorecard'!$A$2:$A$21,MATCH(A41,'Scorecard'!$M$2:$M$21,0))</x:f>
        <x:v>Report 04</x:v>
      </x:c>
      <x:c r="C41" s="68" t="n">
        <x:f>INDEX('Scorecard'!$L$2:$L$21,MATCH(A41,'Scorecard'!$M$2:$M$21,0))</x:f>
        <x:v>0.5555555555555556</x:v>
      </x:c>
    </x:row>
    <x:row r="42">
      <x:c r="A42" t="n">
        <x:v>18</x:v>
      </x:c>
      <x:c r="B42" t="str">
        <x:f>INDEX('Scorecard'!$A$2:$A$21,MATCH(A42,'Scorecard'!$M$2:$M$21,0))</x:f>
        <x:v>Report 06</x:v>
      </x:c>
      <x:c r="C42" s="68" t="n">
        <x:f>INDEX('Scorecard'!$L$2:$L$21,MATCH(A42,'Scorecard'!$M$2:$M$21,0))</x:f>
        <x:v>0.5555555555555556</x:v>
      </x:c>
    </x:row>
    <x:row r="43">
      <x:c r="A43" t="n">
        <x:v>19</x:v>
      </x:c>
      <x:c r="B43" t="str">
        <x:f>INDEX('Scorecard'!$A$2:$A$21,MATCH(A43,'Scorecard'!$M$2:$M$21,0))</x:f>
        <x:v>Report 18</x:v>
      </x:c>
      <x:c r="C43" s="68" t="n">
        <x:f>INDEX('Scorecard'!$L$2:$L$21,MATCH(A43,'Scorecard'!$M$2:$M$21,0))</x:f>
        <x:v>0.5555555555555556</x:v>
      </x:c>
    </x:row>
    <x:row r="44">
      <x:c r="A44" t="n">
        <x:v>20</x:v>
      </x:c>
      <x:c r="B44" t="str">
        <x:f>INDEX('Scorecard'!$A$2:$A$21,MATCH(A44,'Scorecard'!$M$2:$M$21,0))</x:f>
        <x:v>Report 19</x:v>
      </x:c>
      <x:c r="C44" s="68" t="n">
        <x:f>INDEX('Scorecard'!$L$2:$L$21,MATCH(A44,'Scorecard'!$M$2:$M$21,0))</x:f>
        <x:v>0.5555555555555556</x:v>
      </x:c>
    </x:row>
    <x:row r="48" ht="42" customHeight="1">
      <x:c r="A48" s="87" t="str">
        <x:v>Report × Feature Heatmap</x:v>
      </x:c>
      <x:c r="B48" s="87" t="str">
        <x:v>Executive Summary</x:v>
      </x:c>
      <x:c r="C48" s="87" t="str">
        <x:v>Scenario Branch</x:v>
      </x:c>
      <x:c r="D48" s="87" t="str">
        <x:v>Metadata Completeness</x:v>
      </x:c>
      <x:c r="E48" s="87" t="str">
        <x:v>Financial Grid</x:v>
      </x:c>
      <x:c r="F48" s="87" t="str">
        <x:v>Chart Compliance</x:v>
      </x:c>
      <x:c r="G48" s="87" t="str">
        <x:v>Chart-Text Coherence</x:v>
      </x:c>
      <x:c r="H48" s="87" t="str">
        <x:v>Cross-Asset Nature</x:v>
      </x:c>
      <x:c r="I48" s="87" t="str">
        <x:v>Macro-Micro Link</x:v>
      </x:c>
      <x:c r="J48" s="87" t="str">
        <x:v>Multi-Risk Coverage</x:v>
      </x:c>
      <x:c r="K48" s="87" t="str">
        <x:v>Proprietary Alpha</x:v>
      </x:c>
    </x:row>
    <x:row r="49">
      <x:c r="A49" s="16" t="str">
        <x:f>'Raw Data'!A2</x:f>
        <x:v>Report 00</x:v>
      </x:c>
      <x:c r="B49" s="258" t="n">
        <x:f>'Raw Data'!B2</x:f>
        <x:v>1</x:v>
      </x:c>
      <x:c r="C49" s="259" t="n">
        <x:f>'Raw Data'!C2</x:f>
        <x:v>0</x:v>
      </x:c>
      <x:c r="D49" s="259" t="n">
        <x:f>'Raw Data'!D2</x:f>
        <x:v>1</x:v>
      </x:c>
      <x:c r="E49" s="259" t="n">
        <x:f>'Raw Data'!E2</x:f>
        <x:v>0</x:v>
      </x:c>
      <x:c r="F49" s="259" t="n">
        <x:f>'Raw Data'!F2</x:f>
        <x:v>1</x:v>
      </x:c>
      <x:c r="G49" s="259" t="n">
        <x:f>'Raw Data'!G2</x:f>
        <x:v>1</x:v>
      </x:c>
      <x:c r="H49" s="259" t="n">
        <x:f>'Raw Data'!H2</x:f>
        <x:v>1</x:v>
      </x:c>
      <x:c r="I49" s="259" t="n">
        <x:f>'Raw Data'!I2</x:f>
        <x:v>1</x:v>
      </x:c>
      <x:c r="J49" s="259" t="n">
        <x:f>'Raw Data'!J2</x:f>
        <x:v>0</x:v>
      </x:c>
      <x:c r="K49" s="260" t="n">
        <x:f>'Raw Data'!K2</x:f>
        <x:v>1</x:v>
      </x:c>
    </x:row>
    <x:row r="50">
      <x:c r="A50" s="16" t="str">
        <x:f>'Raw Data'!A3</x:f>
        <x:v>Report 01</x:v>
      </x:c>
      <x:c r="B50" s="261" t="n">
        <x:f>'Raw Data'!B3</x:f>
        <x:v>1</x:v>
      </x:c>
      <x:c r="C50" s="262" t="n">
        <x:f>'Raw Data'!C3</x:f>
        <x:v>0</x:v>
      </x:c>
      <x:c r="D50" s="262" t="n">
        <x:f>'Raw Data'!D3</x:f>
        <x:v>1</x:v>
      </x:c>
      <x:c r="E50" s="262" t="n">
        <x:f>'Raw Data'!E3</x:f>
        <x:v>0</x:v>
      </x:c>
      <x:c r="F50" s="262" t="n">
        <x:f>'Raw Data'!F3</x:f>
        <x:v>1</x:v>
      </x:c>
      <x:c r="G50" s="262" t="n">
        <x:f>'Raw Data'!G3</x:f>
        <x:v>1</x:v>
      </x:c>
      <x:c r="H50" s="262" t="n">
        <x:f>'Raw Data'!H3</x:f>
        <x:v>0</x:v>
      </x:c>
      <x:c r="I50" s="262" t="n">
        <x:f>'Raw Data'!I3</x:f>
        <x:v>1</x:v>
      </x:c>
      <x:c r="J50" s="262" t="n">
        <x:f>'Raw Data'!J3</x:f>
        <x:v>0</x:v>
      </x:c>
      <x:c r="K50" s="263" t="n">
        <x:f>'Raw Data'!K3</x:f>
        <x:v>1</x:v>
      </x:c>
    </x:row>
    <x:row r="51">
      <x:c r="A51" s="16" t="str">
        <x:f>'Raw Data'!A4</x:f>
        <x:v>Report 02</x:v>
      </x:c>
      <x:c r="B51" s="261" t="n">
        <x:f>'Raw Data'!B4</x:f>
        <x:v>1</x:v>
      </x:c>
      <x:c r="C51" s="262" t="n">
        <x:f>'Raw Data'!C4</x:f>
        <x:v>0</x:v>
      </x:c>
      <x:c r="D51" s="262" t="n">
        <x:f>'Raw Data'!D4</x:f>
        <x:v>1</x:v>
      </x:c>
      <x:c r="E51" s="262" t="n">
        <x:f>'Raw Data'!E4</x:f>
        <x:v>0</x:v>
      </x:c>
      <x:c r="F51" s="262" t="n">
        <x:f>'Raw Data'!F4</x:f>
        <x:v>1</x:v>
      </x:c>
      <x:c r="G51" s="262" t="n">
        <x:f>'Raw Data'!G4</x:f>
        <x:v>1</x:v>
      </x:c>
      <x:c r="H51" s="262" t="n">
        <x:f>'Raw Data'!H4</x:f>
        <x:v>0</x:v>
      </x:c>
      <x:c r="I51" s="262" t="n">
        <x:f>'Raw Data'!I4</x:f>
        <x:v>1</x:v>
      </x:c>
      <x:c r="J51" s="262" t="n">
        <x:f>'Raw Data'!J4</x:f>
        <x:v>0</x:v>
      </x:c>
      <x:c r="K51" s="263" t="n">
        <x:f>'Raw Data'!K4</x:f>
        <x:v>1</x:v>
      </x:c>
    </x:row>
    <x:row r="52">
      <x:c r="A52" s="16" t="str">
        <x:f>'Raw Data'!A5</x:f>
        <x:v>Report 03</x:v>
      </x:c>
      <x:c r="B52" s="261" t="n">
        <x:f>'Raw Data'!B5</x:f>
        <x:v>1</x:v>
      </x:c>
      <x:c r="C52" s="262" t="n">
        <x:f>'Raw Data'!C5</x:f>
        <x:v>0</x:v>
      </x:c>
      <x:c r="D52" s="262" t="n">
        <x:f>'Raw Data'!D5</x:f>
        <x:v>1</x:v>
      </x:c>
      <x:c r="E52" s="262" t="n">
        <x:f>'Raw Data'!E5</x:f>
        <x:v>0</x:v>
      </x:c>
      <x:c r="F52" s="262" t="n">
        <x:f>'Raw Data'!F5</x:f>
        <x:v>1</x:v>
      </x:c>
      <x:c r="G52" s="262" t="n">
        <x:f>'Raw Data'!G5</x:f>
        <x:v>1</x:v>
      </x:c>
      <x:c r="H52" s="262" t="n">
        <x:f>'Raw Data'!H5</x:f>
        <x:v>1</x:v>
      </x:c>
      <x:c r="I52" s="262" t="n">
        <x:f>'Raw Data'!I5</x:f>
        <x:v>1</x:v>
      </x:c>
      <x:c r="J52" s="262" t="n">
        <x:f>'Raw Data'!J5</x:f>
        <x:v>1</x:v>
      </x:c>
      <x:c r="K52" s="263" t="n">
        <x:f>'Raw Data'!K5</x:f>
        <x:v>0</x:v>
      </x:c>
    </x:row>
    <x:row r="53">
      <x:c r="A53" s="16" t="str">
        <x:f>'Raw Data'!A6</x:f>
        <x:v>Report 04</x:v>
      </x:c>
      <x:c r="B53" s="261" t="n">
        <x:f>'Raw Data'!B6</x:f>
        <x:v>1</x:v>
      </x:c>
      <x:c r="C53" s="262" t="n">
        <x:f>'Raw Data'!C6</x:f>
        <x:v>0</x:v>
      </x:c>
      <x:c r="D53" s="262" t="n">
        <x:f>'Raw Data'!D6</x:f>
        <x:v>1</x:v>
      </x:c>
      <x:c r="E53" s="262" t="n">
        <x:f>'Raw Data'!E6</x:f>
        <x:v>0</x:v>
      </x:c>
      <x:c r="F53" s="262" t="n">
        <x:f>'Raw Data'!F6</x:f>
        <x:v>1</x:v>
      </x:c>
      <x:c r="G53" s="262" t="n">
        <x:f>'Raw Data'!G6</x:f>
        <x:v>0</x:v>
      </x:c>
      <x:c r="H53" s="262" t="n">
        <x:f>'Raw Data'!H6</x:f>
        <x:v>1</x:v>
      </x:c>
      <x:c r="I53" s="262" t="n">
        <x:f>'Raw Data'!I6</x:f>
        <x:v>1</x:v>
      </x:c>
      <x:c r="J53" s="262" t="n">
        <x:f>'Raw Data'!J6</x:f>
        <x:v>0</x:v>
      </x:c>
      <x:c r="K53" s="263" t="n">
        <x:f>'Raw Data'!K6</x:f>
        <x:v>1</x:v>
      </x:c>
    </x:row>
    <x:row r="54">
      <x:c r="A54" s="16" t="str">
        <x:f>'Raw Data'!A7</x:f>
        <x:v>Report 05</x:v>
      </x:c>
      <x:c r="B54" s="261" t="n">
        <x:f>'Raw Data'!B7</x:f>
        <x:v>1</x:v>
      </x:c>
      <x:c r="C54" s="262" t="n">
        <x:f>'Raw Data'!C7</x:f>
        <x:v>0</x:v>
      </x:c>
      <x:c r="D54" s="262" t="n">
        <x:f>'Raw Data'!D7</x:f>
        <x:v>1</x:v>
      </x:c>
      <x:c r="E54" s="262" t="n">
        <x:f>'Raw Data'!E7</x:f>
        <x:v>0</x:v>
      </x:c>
      <x:c r="F54" s="262" t="n">
        <x:f>'Raw Data'!F7</x:f>
        <x:v>1</x:v>
      </x:c>
      <x:c r="G54" s="262" t="n">
        <x:f>'Raw Data'!G7</x:f>
        <x:v>1</x:v>
      </x:c>
      <x:c r="H54" s="262" t="n">
        <x:f>'Raw Data'!H7</x:f>
        <x:v>1</x:v>
      </x:c>
      <x:c r="I54" s="262" t="n">
        <x:f>'Raw Data'!I7</x:f>
        <x:v>1</x:v>
      </x:c>
      <x:c r="J54" s="262" t="n">
        <x:f>'Raw Data'!J7</x:f>
        <x:v>0</x:v>
      </x:c>
      <x:c r="K54" s="263" t="n">
        <x:f>'Raw Data'!K7</x:f>
        <x:v>1</x:v>
      </x:c>
    </x:row>
    <x:row r="55">
      <x:c r="A55" s="16" t="str">
        <x:f>'Raw Data'!A8</x:f>
        <x:v>Report 06</x:v>
      </x:c>
      <x:c r="B55" s="261" t="n">
        <x:f>'Raw Data'!B8</x:f>
        <x:v>1</x:v>
      </x:c>
      <x:c r="C55" s="262" t="n">
        <x:f>'Raw Data'!C8</x:f>
        <x:v>0</x:v>
      </x:c>
      <x:c r="D55" s="262" t="n">
        <x:f>'Raw Data'!D8</x:f>
        <x:v>1</x:v>
      </x:c>
      <x:c r="E55" s="262" t="n">
        <x:f>'Raw Data'!E8</x:f>
        <x:v>0</x:v>
      </x:c>
      <x:c r="F55" s="262" t="n">
        <x:f>'Raw Data'!F8</x:f>
        <x:v>1</x:v>
      </x:c>
      <x:c r="G55" s="262" t="n">
        <x:f>'Raw Data'!G8</x:f>
        <x:v>1</x:v>
      </x:c>
      <x:c r="H55" s="262" t="n">
        <x:f>'Raw Data'!H8</x:f>
        <x:v>0</x:v>
      </x:c>
      <x:c r="I55" s="262" t="n">
        <x:f>'Raw Data'!I8</x:f>
        <x:v>1</x:v>
      </x:c>
      <x:c r="J55" s="262" t="n">
        <x:f>'Raw Data'!J8</x:f>
        <x:v>0</x:v>
      </x:c>
      <x:c r="K55" s="263" t="n">
        <x:f>'Raw Data'!K8</x:f>
        <x:v>1</x:v>
      </x:c>
    </x:row>
    <x:row r="56">
      <x:c r="A56" s="16" t="str">
        <x:f>'Raw Data'!A9</x:f>
        <x:v>Report 07</x:v>
      </x:c>
      <x:c r="B56" s="261" t="n">
        <x:f>'Raw Data'!B9</x:f>
        <x:v>1</x:v>
      </x:c>
      <x:c r="C56" s="262" t="n">
        <x:f>'Raw Data'!C9</x:f>
        <x:v>0</x:v>
      </x:c>
      <x:c r="D56" s="262" t="n">
        <x:f>'Raw Data'!D9</x:f>
        <x:v>1</x:v>
      </x:c>
      <x:c r="E56" s="262" t="n">
        <x:f>'Raw Data'!E9</x:f>
        <x:v>0</x:v>
      </x:c>
      <x:c r="F56" s="262" t="n">
        <x:f>'Raw Data'!F9</x:f>
        <x:v>1</x:v>
      </x:c>
      <x:c r="G56" s="262" t="n">
        <x:f>'Raw Data'!G9</x:f>
        <x:v>1</x:v>
      </x:c>
      <x:c r="H56" s="262" t="n">
        <x:f>'Raw Data'!H9</x:f>
        <x:v>1</x:v>
      </x:c>
      <x:c r="I56" s="262" t="n">
        <x:f>'Raw Data'!I9</x:f>
        <x:v>1</x:v>
      </x:c>
      <x:c r="J56" s="262" t="n">
        <x:f>'Raw Data'!J9</x:f>
        <x:v>1</x:v>
      </x:c>
      <x:c r="K56" s="263" t="n">
        <x:f>'Raw Data'!K9</x:f>
        <x:v>1</x:v>
      </x:c>
    </x:row>
    <x:row r="57">
      <x:c r="A57" s="16" t="str">
        <x:f>'Raw Data'!A10</x:f>
        <x:v>Report 08</x:v>
      </x:c>
      <x:c r="B57" s="261" t="n">
        <x:f>'Raw Data'!B10</x:f>
        <x:v>1</x:v>
      </x:c>
      <x:c r="C57" s="262" t="n">
        <x:f>'Raw Data'!C10</x:f>
        <x:v>0</x:v>
      </x:c>
      <x:c r="D57" s="262" t="n">
        <x:f>'Raw Data'!D10</x:f>
        <x:v>1</x:v>
      </x:c>
      <x:c r="E57" s="262" t="n">
        <x:f>'Raw Data'!E10</x:f>
        <x:v>0</x:v>
      </x:c>
      <x:c r="F57" s="262" t="n">
        <x:f>'Raw Data'!F10</x:f>
        <x:v>1</x:v>
      </x:c>
      <x:c r="G57" s="262" t="n">
        <x:f>'Raw Data'!G10</x:f>
        <x:v>1</x:v>
      </x:c>
      <x:c r="H57" s="262" t="n">
        <x:f>'Raw Data'!H10</x:f>
        <x:v>1</x:v>
      </x:c>
      <x:c r="I57" s="262" t="n">
        <x:f>'Raw Data'!I10</x:f>
        <x:v>1</x:v>
      </x:c>
      <x:c r="J57" s="262" t="n">
        <x:f>'Raw Data'!J10</x:f>
        <x:v>0</x:v>
      </x:c>
      <x:c r="K57" s="263" t="n">
        <x:f>'Raw Data'!K10</x:f>
        <x:v>0</x:v>
      </x:c>
    </x:row>
    <x:row r="58">
      <x:c r="A58" s="16" t="str">
        <x:f>'Raw Data'!A11</x:f>
        <x:v>Report 09</x:v>
      </x:c>
      <x:c r="B58" s="261" t="n">
        <x:f>'Raw Data'!B11</x:f>
        <x:v>1</x:v>
      </x:c>
      <x:c r="C58" s="262" t="n">
        <x:f>'Raw Data'!C11</x:f>
        <x:v>0</x:v>
      </x:c>
      <x:c r="D58" s="262" t="n">
        <x:f>'Raw Data'!D11</x:f>
        <x:v>1</x:v>
      </x:c>
      <x:c r="E58" s="262" t="n">
        <x:f>'Raw Data'!E11</x:f>
        <x:v>0</x:v>
      </x:c>
      <x:c r="F58" s="262" t="n">
        <x:f>'Raw Data'!F11</x:f>
        <x:v>1</x:v>
      </x:c>
      <x:c r="G58" s="262" t="n">
        <x:f>'Raw Data'!G11</x:f>
        <x:v>1</x:v>
      </x:c>
      <x:c r="H58" s="262" t="n">
        <x:f>'Raw Data'!H11</x:f>
        <x:v>1</x:v>
      </x:c>
      <x:c r="I58" s="262" t="n">
        <x:f>'Raw Data'!I11</x:f>
        <x:v>1</x:v>
      </x:c>
      <x:c r="J58" s="262" t="n">
        <x:f>'Raw Data'!J11</x:f>
        <x:v>0</x:v>
      </x:c>
      <x:c r="K58" s="263" t="n">
        <x:f>'Raw Data'!K11</x:f>
        <x:v>0</x:v>
      </x:c>
    </x:row>
    <x:row r="59">
      <x:c r="A59" s="16" t="str">
        <x:f>'Raw Data'!A12</x:f>
        <x:v>Report 10</x:v>
      </x:c>
      <x:c r="B59" s="261" t="n">
        <x:f>'Raw Data'!B12</x:f>
        <x:v>1</x:v>
      </x:c>
      <x:c r="C59" s="262" t="n">
        <x:f>'Raw Data'!C12</x:f>
        <x:v>0</x:v>
      </x:c>
      <x:c r="D59" s="262" t="n">
        <x:f>'Raw Data'!D12</x:f>
        <x:v>1</x:v>
      </x:c>
      <x:c r="E59" s="262" t="n">
        <x:f>'Raw Data'!E12</x:f>
        <x:v>0</x:v>
      </x:c>
      <x:c r="F59" s="262" t="n">
        <x:f>'Raw Data'!F12</x:f>
        <x:v>1</x:v>
      </x:c>
      <x:c r="G59" s="262" t="n">
        <x:f>'Raw Data'!G12</x:f>
        <x:v>1</x:v>
      </x:c>
      <x:c r="H59" s="262" t="n">
        <x:f>'Raw Data'!H12</x:f>
        <x:v>1</x:v>
      </x:c>
      <x:c r="I59" s="262" t="n">
        <x:f>'Raw Data'!I12</x:f>
        <x:v>1</x:v>
      </x:c>
      <x:c r="J59" s="262" t="n">
        <x:f>'Raw Data'!J12</x:f>
        <x:v>0</x:v>
      </x:c>
      <x:c r="K59" s="263" t="n">
        <x:f>'Raw Data'!K12</x:f>
        <x:v>0</x:v>
      </x:c>
    </x:row>
    <x:row r="60">
      <x:c r="A60" s="16" t="str">
        <x:f>'Raw Data'!A13</x:f>
        <x:v>Report 11</x:v>
      </x:c>
      <x:c r="B60" s="261" t="n">
        <x:f>'Raw Data'!B13</x:f>
        <x:v>1</x:v>
      </x:c>
      <x:c r="C60" s="262" t="n">
        <x:f>'Raw Data'!C13</x:f>
        <x:v>0</x:v>
      </x:c>
      <x:c r="D60" s="262" t="n">
        <x:f>'Raw Data'!D13</x:f>
        <x:v>1</x:v>
      </x:c>
      <x:c r="E60" s="262" t="n">
        <x:f>'Raw Data'!E13</x:f>
        <x:v>1</x:v>
      </x:c>
      <x:c r="F60" s="262" t="n">
        <x:f>'Raw Data'!F13</x:f>
        <x:v>1</x:v>
      </x:c>
      <x:c r="G60" s="262" t="n">
        <x:f>'Raw Data'!G13</x:f>
        <x:v>0</x:v>
      </x:c>
      <x:c r="H60" s="262" t="n">
        <x:f>'Raw Data'!H13</x:f>
        <x:v>1</x:v>
      </x:c>
      <x:c r="I60" s="262" t="n">
        <x:f>'Raw Data'!I13</x:f>
        <x:v>1</x:v>
      </x:c>
      <x:c r="J60" s="262" t="n">
        <x:f>'Raw Data'!J13</x:f>
        <x:v>0</x:v>
      </x:c>
      <x:c r="K60" s="263" t="n">
        <x:f>'Raw Data'!K13</x:f>
        <x:v>0</x:v>
      </x:c>
    </x:row>
    <x:row r="61">
      <x:c r="A61" s="16" t="str">
        <x:f>'Raw Data'!A14</x:f>
        <x:v>Report 12</x:v>
      </x:c>
      <x:c r="B61" s="261" t="n">
        <x:f>'Raw Data'!B14</x:f>
        <x:v>1</x:v>
      </x:c>
      <x:c r="C61" s="262" t="n">
        <x:f>'Raw Data'!C14</x:f>
        <x:v>0</x:v>
      </x:c>
      <x:c r="D61" s="262" t="n">
        <x:f>'Raw Data'!D14</x:f>
        <x:v>1</x:v>
      </x:c>
      <x:c r="E61" s="262" t="n">
        <x:f>'Raw Data'!E14</x:f>
        <x:v>1</x:v>
      </x:c>
      <x:c r="F61" s="262" t="n">
        <x:f>'Raw Data'!F14</x:f>
        <x:v>1</x:v>
      </x:c>
      <x:c r="G61" s="262" t="n">
        <x:f>'Raw Data'!G14</x:f>
        <x:v>1</x:v>
      </x:c>
      <x:c r="H61" s="262" t="n">
        <x:f>'Raw Data'!H14</x:f>
        <x:v>0</x:v>
      </x:c>
      <x:c r="I61" s="262" t="n">
        <x:f>'Raw Data'!I14</x:f>
        <x:v>1</x:v>
      </x:c>
      <x:c r="J61" s="262" t="n">
        <x:f>'Raw Data'!J14</x:f>
        <x:v>1</x:v>
      </x:c>
      <x:c r="K61" s="263" t="n">
        <x:f>'Raw Data'!K14</x:f>
        <x:v>1</x:v>
      </x:c>
    </x:row>
    <x:row r="62">
      <x:c r="A62" s="16" t="str">
        <x:f>'Raw Data'!A15</x:f>
        <x:v>Report 13</x:v>
      </x:c>
      <x:c r="B62" s="261" t="n">
        <x:f>'Raw Data'!B15</x:f>
        <x:v>1</x:v>
      </x:c>
      <x:c r="C62" s="262" t="n">
        <x:f>'Raw Data'!C15</x:f>
        <x:v>0</x:v>
      </x:c>
      <x:c r="D62" s="262" t="n">
        <x:f>'Raw Data'!D15</x:f>
        <x:v>1</x:v>
      </x:c>
      <x:c r="E62" s="262" t="n">
        <x:f>'Raw Data'!E15</x:f>
        <x:v>1</x:v>
      </x:c>
      <x:c r="F62" s="262" t="n">
        <x:f>'Raw Data'!F15</x:f>
        <x:v>1</x:v>
      </x:c>
      <x:c r="G62" s="262" t="n">
        <x:f>'Raw Data'!G15</x:f>
        <x:v>1</x:v>
      </x:c>
      <x:c r="H62" s="262" t="n">
        <x:f>'Raw Data'!H15</x:f>
        <x:v>1</x:v>
      </x:c>
      <x:c r="I62" s="262" t="n">
        <x:f>'Raw Data'!I15</x:f>
        <x:v>1</x:v>
      </x:c>
      <x:c r="J62" s="262" t="n">
        <x:f>'Raw Data'!J15</x:f>
        <x:v>1</x:v>
      </x:c>
      <x:c r="K62" s="263" t="n">
        <x:f>'Raw Data'!K15</x:f>
        <x:v>0</x:v>
      </x:c>
    </x:row>
    <x:row r="63">
      <x:c r="A63" s="16" t="str">
        <x:f>'Raw Data'!A16</x:f>
        <x:v>Report 14</x:v>
      </x:c>
      <x:c r="B63" s="261" t="n">
        <x:f>'Raw Data'!B16</x:f>
        <x:v>1</x:v>
      </x:c>
      <x:c r="C63" s="262" t="n">
        <x:f>'Raw Data'!C16</x:f>
        <x:v>1</x:v>
      </x:c>
      <x:c r="D63" s="262" t="n">
        <x:f>'Raw Data'!D16</x:f>
        <x:v>1</x:v>
      </x:c>
      <x:c r="E63" s="262" t="n">
        <x:f>'Raw Data'!E16</x:f>
        <x:v>1</x:v>
      </x:c>
      <x:c r="F63" s="262" t="n">
        <x:f>'Raw Data'!F16</x:f>
        <x:v>1</x:v>
      </x:c>
      <x:c r="G63" s="262" t="n">
        <x:f>'Raw Data'!G16</x:f>
        <x:v>1</x:v>
      </x:c>
      <x:c r="H63" s="262" t="n">
        <x:f>'Raw Data'!H16</x:f>
        <x:v>1</x:v>
      </x:c>
      <x:c r="I63" s="262" t="n">
        <x:f>'Raw Data'!I16</x:f>
        <x:v>1</x:v>
      </x:c>
      <x:c r="J63" s="262" t="n">
        <x:f>'Raw Data'!J16</x:f>
        <x:v>1</x:v>
      </x:c>
      <x:c r="K63" s="263" t="n">
        <x:f>'Raw Data'!K16</x:f>
        <x:v>1</x:v>
      </x:c>
    </x:row>
    <x:row r="64">
      <x:c r="A64" s="16" t="str">
        <x:f>'Raw Data'!A17</x:f>
        <x:v>Report 15</x:v>
      </x:c>
      <x:c r="B64" s="261" t="n">
        <x:f>'Raw Data'!B17</x:f>
        <x:v>1</x:v>
      </x:c>
      <x:c r="C64" s="262" t="n">
        <x:f>'Raw Data'!C17</x:f>
        <x:v>1</x:v>
      </x:c>
      <x:c r="D64" s="262" t="n">
        <x:f>'Raw Data'!D17</x:f>
        <x:v>1</x:v>
      </x:c>
      <x:c r="E64" s="262" t="n">
        <x:f>'Raw Data'!E17</x:f>
        <x:v>1</x:v>
      </x:c>
      <x:c r="F64" s="262" t="n">
        <x:f>'Raw Data'!F17</x:f>
        <x:v>1</x:v>
      </x:c>
      <x:c r="G64" s="262" t="n">
        <x:f>'Raw Data'!G17</x:f>
        <x:v>1</x:v>
      </x:c>
      <x:c r="H64" s="262" t="n">
        <x:f>'Raw Data'!H17</x:f>
        <x:v>1</x:v>
      </x:c>
      <x:c r="I64" s="262" t="n">
        <x:f>'Raw Data'!I17</x:f>
        <x:v>1</x:v>
      </x:c>
      <x:c r="J64" s="262" t="n">
        <x:f>'Raw Data'!J17</x:f>
        <x:v>1</x:v>
      </x:c>
      <x:c r="K64" s="263" t="n">
        <x:f>'Raw Data'!K17</x:f>
        <x:v>0</x:v>
      </x:c>
    </x:row>
    <x:row r="65">
      <x:c r="A65" s="16" t="str">
        <x:f>'Raw Data'!A18</x:f>
        <x:v>Report 16</x:v>
      </x:c>
      <x:c r="B65" s="261" t="n">
        <x:f>'Raw Data'!B18</x:f>
        <x:v>1</x:v>
      </x:c>
      <x:c r="C65" s="262" t="n">
        <x:f>'Raw Data'!C18</x:f>
        <x:v>0</x:v>
      </x:c>
      <x:c r="D65" s="262" t="n">
        <x:f>'Raw Data'!D18</x:f>
        <x:v>1</x:v>
      </x:c>
      <x:c r="E65" s="262" t="n">
        <x:f>'Raw Data'!E18</x:f>
        <x:v>1</x:v>
      </x:c>
      <x:c r="F65" s="262" t="n">
        <x:f>'Raw Data'!F18</x:f>
        <x:v>1</x:v>
      </x:c>
      <x:c r="G65" s="262" t="n">
        <x:f>'Raw Data'!G18</x:f>
        <x:v>1</x:v>
      </x:c>
      <x:c r="H65" s="262" t="n">
        <x:f>'Raw Data'!H18</x:f>
        <x:v>1</x:v>
      </x:c>
      <x:c r="I65" s="262" t="n">
        <x:f>'Raw Data'!I18</x:f>
        <x:v>1</x:v>
      </x:c>
      <x:c r="J65" s="262" t="n">
        <x:f>'Raw Data'!J18</x:f>
        <x:v>0</x:v>
      </x:c>
      <x:c r="K65" s="263" t="n">
        <x:f>'Raw Data'!K18</x:f>
        <x:v>1</x:v>
      </x:c>
    </x:row>
    <x:row r="66">
      <x:c r="A66" s="16" t="str">
        <x:f>'Raw Data'!A19</x:f>
        <x:v>Report 17</x:v>
      </x:c>
      <x:c r="B66" s="261" t="n">
        <x:f>'Raw Data'!B19</x:f>
        <x:v>1</x:v>
      </x:c>
      <x:c r="C66" s="262" t="n">
        <x:f>'Raw Data'!C19</x:f>
        <x:v>0</x:v>
      </x:c>
      <x:c r="D66" s="262" t="n">
        <x:f>'Raw Data'!D19</x:f>
        <x:v>1</x:v>
      </x:c>
      <x:c r="E66" s="262" t="n">
        <x:f>'Raw Data'!E19</x:f>
        <x:v>0</x:v>
      </x:c>
      <x:c r="F66" s="262" t="n">
        <x:f>'Raw Data'!F19</x:f>
        <x:v>1</x:v>
      </x:c>
      <x:c r="G66" s="262" t="n">
        <x:f>'Raw Data'!G19</x:f>
        <x:v>1</x:v>
      </x:c>
      <x:c r="H66" s="262" t="n">
        <x:f>'Raw Data'!H19</x:f>
        <x:v>1</x:v>
      </x:c>
      <x:c r="I66" s="262" t="n">
        <x:f>'Raw Data'!I19</x:f>
        <x:v>1</x:v>
      </x:c>
      <x:c r="J66" s="262" t="n">
        <x:f>'Raw Data'!J19</x:f>
        <x:v>1</x:v>
      </x:c>
      <x:c r="K66" s="263" t="n">
        <x:f>'Raw Data'!K19</x:f>
        <x:v>1</x:v>
      </x:c>
    </x:row>
    <x:row r="67">
      <x:c r="A67" s="16" t="str">
        <x:f>'Raw Data'!A20</x:f>
        <x:v>Report 18</x:v>
      </x:c>
      <x:c r="B67" s="261" t="n">
        <x:f>'Raw Data'!B20</x:f>
        <x:v>1</x:v>
      </x:c>
      <x:c r="C67" s="262" t="n">
        <x:f>'Raw Data'!C20</x:f>
        <x:v>0</x:v>
      </x:c>
      <x:c r="D67" s="262" t="n">
        <x:f>'Raw Data'!D20</x:f>
        <x:v>1</x:v>
      </x:c>
      <x:c r="E67" s="262" t="n">
        <x:f>'Raw Data'!E20</x:f>
        <x:v>0</x:v>
      </x:c>
      <x:c r="F67" s="262" t="n">
        <x:f>'Raw Data'!F20</x:f>
        <x:v>1</x:v>
      </x:c>
      <x:c r="G67" s="262" t="n">
        <x:f>'Raw Data'!G20</x:f>
        <x:v>1</x:v>
      </x:c>
      <x:c r="H67" s="262" t="n">
        <x:f>'Raw Data'!H20</x:f>
        <x:v>0</x:v>
      </x:c>
      <x:c r="I67" s="262" t="n">
        <x:f>'Raw Data'!I20</x:f>
        <x:v>1</x:v>
      </x:c>
      <x:c r="J67" s="262" t="n">
        <x:f>'Raw Data'!J20</x:f>
        <x:v>0</x:v>
      </x:c>
      <x:c r="K67" s="263" t="n">
        <x:f>'Raw Data'!K20</x:f>
        <x:v>1</x:v>
      </x:c>
    </x:row>
    <x:row r="68">
      <x:c r="A68" s="16" t="str">
        <x:f>'Raw Data'!A21</x:f>
        <x:v>Report 19</x:v>
      </x:c>
      <x:c r="B68" s="264" t="n">
        <x:f>'Raw Data'!B21</x:f>
        <x:v>1</x:v>
      </x:c>
      <x:c r="C68" s="265" t="n">
        <x:f>'Raw Data'!C21</x:f>
        <x:v>0</x:v>
      </x:c>
      <x:c r="D68" s="265" t="n">
        <x:f>'Raw Data'!D21</x:f>
        <x:v>1</x:v>
      </x:c>
      <x:c r="E68" s="265" t="n">
        <x:f>'Raw Data'!E21</x:f>
        <x:v>0</x:v>
      </x:c>
      <x:c r="F68" s="265" t="n">
        <x:f>'Raw Data'!F21</x:f>
        <x:v>1</x:v>
      </x:c>
      <x:c r="G68" s="265" t="n">
        <x:f>'Raw Data'!G21</x:f>
        <x:v>1</x:v>
      </x:c>
      <x:c r="H68" s="265" t="n">
        <x:f>'Raw Data'!H21</x:f>
        <x:v>0</x:v>
      </x:c>
      <x:c r="I68" s="265" t="n">
        <x:f>'Raw Data'!I21</x:f>
        <x:v>1</x:v>
      </x:c>
      <x:c r="J68" s="265" t="n">
        <x:f>'Raw Data'!J21</x:f>
        <x:v>0</x:v>
      </x:c>
      <x:c r="K68" s="266" t="n">
        <x:f>'Raw Data'!K21</x:f>
        <x:v>1</x:v>
      </x:c>
    </x:row>
    <x:row r="70">
      <x:c r="A70" s="267" t="str">
        <x:v>Reading guide: 1 = feature present; 0 = feature absent. Green coverage ≥80%; amber 50–79%; red &lt;50%. This is an exploratory 20-report diagnostic, not a causal or statistically conclusive model.</x:v>
      </x:c>
      <x:c r="B70" s="267"/>
      <x:c r="C70" s="267"/>
      <x:c r="D70" s="267"/>
      <x:c r="E70" s="267"/>
      <x:c r="F70" s="267"/>
      <x:c r="G70" s="267"/>
      <x:c r="H70" s="267"/>
      <x:c r="I70" s="267"/>
      <x:c r="J70" s="267"/>
      <x:c r="K70" s="267"/>
      <x:c r="L70" s="267"/>
      <x:c r="M70" s="267"/>
      <x:c r="N70" s="267"/>
    </x:row>
    <x:row r="71">
      <x:c r="A71" s="267"/>
      <x:c r="B71" s="267"/>
      <x:c r="C71" s="267"/>
      <x:c r="D71" s="267"/>
      <x:c r="E71" s="267"/>
      <x:c r="F71" s="267"/>
      <x:c r="G71" s="267"/>
      <x:c r="H71" s="267"/>
      <x:c r="I71" s="267"/>
      <x:c r="J71" s="267"/>
      <x:c r="K71" s="267"/>
      <x:c r="L71" s="267"/>
      <x:c r="M71" s="267"/>
      <x:c r="N71" s="267"/>
    </x:row>
  </x:sheetData>
  <x:mergeCells>
    <x:mergeCell ref="A1:N2"/>
    <x:mergeCell ref="A3:N3"/>
    <x:mergeCell ref="A5:C7"/>
    <x:mergeCell ref="A4:C4"/>
    <x:mergeCell ref="E5:G7"/>
    <x:mergeCell ref="E4:G4"/>
    <x:mergeCell ref="I5:K7"/>
    <x:mergeCell ref="I4:K4"/>
    <x:mergeCell ref="M5:N7"/>
    <x:mergeCell ref="M4:N4"/>
    <x:mergeCell ref="A70:N71"/>
  </x:mergeCells>
  <x:conditionalFormatting sqref="B11:B20">
    <x:cfRule type="cellIs" dxfId="10" priority="1" operator="greaterThanOrEqual">
      <x:formula>0.8</x:formula>
    </x:cfRule>
    <x:cfRule type="cellIs" dxfId="11" priority="2" operator="between">
      <x:formula>0.5</x:formula>
      <x:formula>0.799999</x:formula>
    </x:cfRule>
    <x:cfRule type="cellIs" dxfId="12" priority="3" operator="lessThan">
      <x:formula>0.5</x:formula>
    </x:cfRule>
  </x:conditionalFormatting>
  <x:conditionalFormatting sqref="B49:K68">
    <x:cfRule type="cellIs" dxfId="13" priority="4" operator="equal">
      <x:formula>1</x:formula>
    </x:cfRule>
    <x:cfRule type="cellIs" dxfId="14" priority="5" operator="equal">
      <x:formula>0</x:formula>
    </x:cfRule>
  </x:conditionalFormatting>
  <x:pageMargins left="0.7" right="0.7" top="0.75" bottom="0.75" header="0.3" footer="0.3"/>
  <x:drawing xmlns:r="http://schemas.openxmlformats.org/officeDocument/2006/relationships" r:id="Rff1dc19e6c9e436e"/>
</x:worksheet>
</file>